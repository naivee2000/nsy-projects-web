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>
    <definedName name="_xlnm.Print_Area" localSheetId="0">'Sheet1'!$A$1:$F$66</definedName>
  </definedNames>
  <calcPr calcId="179021" calcMode="auto" fullCalcOnLoad="1" forceFullCalc="1"/>
</workbook>
</file>

<file path=xl/styles.xml><?xml version="1.0" encoding="utf-8"?>
<styleSheet xmlns="http://schemas.openxmlformats.org/spreadsheetml/2006/main">
  <numFmts count="9">
    <numFmt numFmtId="164" formatCode="0.00000"/>
    <numFmt numFmtId="165" formatCode="[$-409]d\-mmm\-yy;@"/>
    <numFmt numFmtId="166" formatCode="0.000"/>
    <numFmt numFmtId="167" formatCode="0.0000000000000_ "/>
    <numFmt numFmtId="168" formatCode="0.00_ "/>
    <numFmt numFmtId="169" formatCode="0.000_ "/>
    <numFmt numFmtId="170" formatCode="hh:mm_)"/>
    <numFmt numFmtId="171" formatCode="0.0000"/>
    <numFmt numFmtId="172" formatCode="_ * #,##0.00_ ;_ * \-#,##0.00_ ;_ * &quot;-&quot;??_ ;_ @_ "/>
  </numFmts>
  <fonts count="27">
    <font>
      <name val="宋体"/>
      <charset val="134"/>
      <color theme="1"/>
      <sz val="11"/>
      <scheme val="minor"/>
    </font>
    <font>
      <name val="Arial"/>
      <family val="2"/>
      <b val="1"/>
      <color rgb="FFFF0000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11"/>
    </font>
    <font>
      <name val="Arial"/>
      <family val="2"/>
      <b val="1"/>
      <sz val="16"/>
    </font>
    <font>
      <name val="宋体"/>
      <charset val="134"/>
      <family val="3"/>
      <sz val="9"/>
      <scheme val="minor"/>
    </font>
    <font>
      <name val="Arial"/>
      <family val="2"/>
      <b val="1"/>
      <color rgb="FFFF0000"/>
      <sz val="12"/>
    </font>
    <font>
      <name val="Arial"/>
      <family val="2"/>
      <b val="1"/>
      <sz val="12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i val="1"/>
      <sz val="12"/>
    </font>
    <font>
      <name val="Arial"/>
      <family val="2"/>
      <b val="1"/>
      <sz val="12"/>
      <u val="single"/>
    </font>
    <font>
      <name val="Arial"/>
      <family val="2"/>
      <b val="1"/>
      <i val="1"/>
      <sz val="12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b val="1"/>
      <sz val="12"/>
    </font>
    <font>
      <name val="Arial"/>
      <charset val="134"/>
      <family val="2"/>
      <color rgb="FFFF0000"/>
      <sz val="12"/>
    </font>
    <font>
      <name val="宋体"/>
      <charset val="134"/>
      <family val="3"/>
      <color rgb="FFFF0000"/>
      <sz val="12"/>
    </font>
    <font>
      <name val="Arial"/>
      <family val="2"/>
      <color theme="3" tint="-0.249977111117893"/>
      <sz val="12"/>
    </font>
    <font>
      <name val="宋体"/>
      <charset val="134"/>
      <family val="3"/>
      <color theme="3" tint="-0.249977111117893"/>
      <sz val="12"/>
    </font>
    <font>
      <name val="宋体"/>
      <charset val="134"/>
      <family val="3"/>
      <b val="1"/>
      <i val="1"/>
      <sz val="12"/>
    </font>
    <font>
      <name val="Arial"/>
      <family val="2"/>
      <b val="1"/>
      <i val="1"/>
      <color rgb="FFFF0000"/>
      <sz val="12"/>
    </font>
    <font>
      <name val="Arial"/>
      <family val="2"/>
      <b val="1"/>
      <i val="1"/>
      <color rgb="FF0070C0"/>
      <sz val="12"/>
    </font>
    <font>
      <name val="Arial"/>
      <family val="2"/>
      <color rgb="FFFF0000"/>
      <sz val="12"/>
    </font>
    <font>
      <name val="宋体"/>
      <charset val="134"/>
      <family val="2"/>
      <sz val="12"/>
    </font>
    <font>
      <name val="宋体"/>
      <charset val="134"/>
      <family val="2"/>
      <color theme="1"/>
      <sz val="12"/>
    </font>
    <font>
      <name val="宋体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43" fontId="26" fillId="0" borderId="0" applyAlignment="1">
      <alignment vertical="center"/>
    </xf>
  </cellStyleXfs>
  <cellXfs count="1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applyAlignment="1" pivotButton="0" quotePrefix="0" xfId="0">
      <alignment horizontal="right"/>
    </xf>
    <xf numFmtId="165" fontId="9" fillId="0" borderId="0" applyAlignment="1" pivotButton="0" quotePrefix="0" xfId="0">
      <alignment horizontal="left"/>
    </xf>
    <xf numFmtId="166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10" fillId="0" borderId="0" pivotButton="0" quotePrefix="0" xfId="0"/>
    <xf numFmtId="165" fontId="11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167" fontId="9" fillId="0" borderId="0" pivotButton="0" quotePrefix="0" xfId="0"/>
    <xf numFmtId="0" fontId="12" fillId="0" borderId="0" applyAlignment="1" pivotButton="0" quotePrefix="0" xfId="0">
      <alignment horizontal="right"/>
    </xf>
    <xf numFmtId="166" fontId="13" fillId="0" borderId="0" applyAlignment="1" pivotButton="0" quotePrefix="0" xfId="0">
      <alignment horizontal="right" vertical="center"/>
    </xf>
    <xf numFmtId="168" fontId="13" fillId="0" borderId="0" applyAlignment="1" pivotButton="0" quotePrefix="0" xfId="0">
      <alignment horizontal="right" vertical="center"/>
    </xf>
    <xf numFmtId="0" fontId="9" fillId="0" borderId="1" pivotButton="0" quotePrefix="0" xfId="0"/>
    <xf numFmtId="0" fontId="14" fillId="0" borderId="1" pivotButton="0" quotePrefix="0" xfId="0"/>
    <xf numFmtId="169" fontId="14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center"/>
    </xf>
    <xf numFmtId="0" fontId="14" fillId="0" borderId="0" pivotButton="0" quotePrefix="0" xfId="0"/>
    <xf numFmtId="169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2" fillId="0" borderId="0" pivotButton="0" quotePrefix="0" xfId="0"/>
    <xf numFmtId="0" fontId="15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left"/>
    </xf>
    <xf numFmtId="164" fontId="9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22" fontId="9" fillId="0" borderId="0" applyAlignment="1" pivotButton="0" quotePrefix="0" xfId="0">
      <alignment horizontal="left"/>
    </xf>
    <xf numFmtId="22" fontId="16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9" fillId="2" borderId="0" pivotButton="0" quotePrefix="0" xfId="0"/>
    <xf numFmtId="20" fontId="9" fillId="0" borderId="0" applyAlignment="1" pivotButton="0" quotePrefix="0" xfId="0">
      <alignment horizontal="left"/>
    </xf>
    <xf numFmtId="0" fontId="7" fillId="0" borderId="0" pivotButton="0" quotePrefix="0" xfId="0"/>
    <xf numFmtId="16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 indent="1"/>
    </xf>
    <xf numFmtId="164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 indent="2"/>
    </xf>
    <xf numFmtId="0" fontId="13" fillId="0" borderId="0" applyAlignment="1" pivotButton="0" quotePrefix="0" xfId="0">
      <alignment horizontal="left" indent="1"/>
    </xf>
    <xf numFmtId="164" fontId="8" fillId="0" borderId="0" applyAlignment="1" pivotButton="0" quotePrefix="0" xfId="0">
      <alignment horizontal="center"/>
    </xf>
    <xf numFmtId="170" fontId="8" fillId="0" borderId="0" pivotButton="0" quotePrefix="0" xfId="0"/>
    <xf numFmtId="0" fontId="13" fillId="0" borderId="0" pivotButton="0" quotePrefix="0" xfId="0"/>
    <xf numFmtId="166" fontId="13" fillId="0" borderId="0" applyAlignment="1" pivotButton="0" quotePrefix="0" xfId="0">
      <alignment horizontal="left" indent="1"/>
    </xf>
    <xf numFmtId="0" fontId="13" fillId="0" borderId="0" applyAlignment="1" pivotButton="0" quotePrefix="0" xfId="0">
      <alignment horizontal="right"/>
    </xf>
    <xf numFmtId="164" fontId="13" fillId="0" borderId="0" applyAlignment="1" pivotButton="0" quotePrefix="0" xfId="0">
      <alignment horizontal="center"/>
    </xf>
    <xf numFmtId="164" fontId="21" fillId="0" borderId="0" applyAlignment="1" pivotButton="0" quotePrefix="0" xfId="0">
      <alignment horizontal="center"/>
    </xf>
    <xf numFmtId="0" fontId="22" fillId="0" borderId="0" pivotButton="0" quotePrefix="0" xfId="0"/>
    <xf numFmtId="0" fontId="22" fillId="0" borderId="0" applyAlignment="1" pivotButton="0" quotePrefix="0" xfId="0">
      <alignment horizontal="left"/>
    </xf>
    <xf numFmtId="0" fontId="13" fillId="0" borderId="1" applyAlignment="1" pivotButton="0" quotePrefix="0" xfId="0">
      <alignment horizontal="left" indent="1"/>
    </xf>
    <xf numFmtId="164" fontId="8" fillId="0" borderId="1" applyAlignment="1" pivotButton="0" quotePrefix="0" xfId="0">
      <alignment horizontal="center"/>
    </xf>
    <xf numFmtId="0" fontId="8" fillId="0" borderId="1" pivotButton="0" quotePrefix="0" xfId="0"/>
    <xf numFmtId="170" fontId="8" fillId="0" borderId="1" pivotButton="0" quotePrefix="0" xfId="0"/>
    <xf numFmtId="0" fontId="17" fillId="0" borderId="0" pivotButton="0" quotePrefix="0" xfId="0"/>
    <xf numFmtId="0" fontId="24" fillId="0" borderId="0" applyAlignment="1" pivotButton="0" quotePrefix="0" xfId="0">
      <alignment horizontal="right"/>
    </xf>
    <xf numFmtId="168" fontId="23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indent="2"/>
    </xf>
    <xf numFmtId="0" fontId="21" fillId="0" borderId="0" pivotButton="0" quotePrefix="0" xfId="0"/>
    <xf numFmtId="0" fontId="21" fillId="0" borderId="0" applyAlignment="1" pivotButton="0" quotePrefix="0" xfId="0">
      <alignment horizontal="left"/>
    </xf>
    <xf numFmtId="0" fontId="11" fillId="0" borderId="2" applyAlignment="1" pivotButton="0" quotePrefix="0" xfId="0">
      <alignment horizontal="left" indent="1"/>
    </xf>
    <xf numFmtId="171" fontId="9" fillId="0" borderId="2" applyAlignment="1" pivotButton="0" quotePrefix="0" xfId="0">
      <alignment horizontal="center"/>
    </xf>
    <xf numFmtId="0" fontId="9" fillId="0" borderId="2" pivotButton="0" quotePrefix="0" xfId="0"/>
    <xf numFmtId="168" fontId="7" fillId="0" borderId="0" pivotButton="0" quotePrefix="0" xfId="0"/>
    <xf numFmtId="172" fontId="22" fillId="0" borderId="0" pivotButton="0" quotePrefix="0" xfId="1"/>
    <xf numFmtId="172" fontId="21" fillId="0" borderId="0" pivotButton="0" quotePrefix="0" xfId="1"/>
    <xf numFmtId="172" fontId="11" fillId="0" borderId="2" applyAlignment="1" pivotButton="0" quotePrefix="0" xfId="1">
      <alignment horizontal="left" indent="1"/>
    </xf>
    <xf numFmtId="172" fontId="7" fillId="0" borderId="0" pivotButton="0" quotePrefix="0" xfId="1"/>
    <xf numFmtId="58" fontId="9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applyAlignment="1" pivotButton="0" quotePrefix="0" xfId="0">
      <alignment horizontal="center"/>
    </xf>
    <xf numFmtId="0" fontId="9" fillId="2" borderId="0" pivotButton="0" quotePrefix="0" xfId="0"/>
    <xf numFmtId="0" fontId="18" fillId="0" borderId="0" pivotButton="0" quotePrefix="0" xfId="0"/>
    <xf numFmtId="0" fontId="8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 indent="1"/>
    </xf>
    <xf numFmtId="0" fontId="9" fillId="0" borderId="0" applyAlignment="1" pivotButton="0" quotePrefix="0" xfId="0">
      <alignment horizontal="left" indent="2"/>
    </xf>
    <xf numFmtId="0" fontId="9" fillId="0" borderId="0" applyAlignment="1" pivotButton="0" quotePrefix="0" xfId="0">
      <alignment horizontal="center"/>
    </xf>
    <xf numFmtId="165" fontId="9" fillId="0" borderId="0" applyAlignment="1" pivotButton="0" quotePrefix="0" xfId="0">
      <alignment horizontal="left"/>
    </xf>
    <xf numFmtId="166" fontId="9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right"/>
    </xf>
    <xf numFmtId="167" fontId="9" fillId="0" borderId="0" pivotButton="0" quotePrefix="0" xfId="0"/>
    <xf numFmtId="166" fontId="13" fillId="0" borderId="0" applyAlignment="1" pivotButton="0" quotePrefix="0" xfId="0">
      <alignment horizontal="right" vertical="center"/>
    </xf>
    <xf numFmtId="168" fontId="13" fillId="0" borderId="0" applyAlignment="1" pivotButton="0" quotePrefix="0" xfId="0">
      <alignment horizontal="right" vertical="center"/>
    </xf>
    <xf numFmtId="169" fontId="14" fillId="0" borderId="1" applyAlignment="1" pivotButton="0" quotePrefix="0" xfId="0">
      <alignment horizontal="center"/>
    </xf>
    <xf numFmtId="169" fontId="14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left"/>
    </xf>
    <xf numFmtId="164" fontId="9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166" fontId="13" fillId="0" borderId="0" applyAlignment="1" pivotButton="0" quotePrefix="0" xfId="0">
      <alignment horizontal="left" indent="1"/>
    </xf>
    <xf numFmtId="164" fontId="13" fillId="0" borderId="0" applyAlignment="1" pivotButton="0" quotePrefix="0" xfId="0">
      <alignment horizontal="center"/>
    </xf>
    <xf numFmtId="164" fontId="21" fillId="0" borderId="0" applyAlignment="1" pivotButton="0" quotePrefix="0" xfId="0">
      <alignment horizontal="center"/>
    </xf>
    <xf numFmtId="172" fontId="22" fillId="0" borderId="0" pivotButton="0" quotePrefix="0" xfId="1"/>
    <xf numFmtId="164" fontId="8" fillId="0" borderId="1" applyAlignment="1" pivotButton="0" quotePrefix="0" xfId="0">
      <alignment horizontal="center"/>
    </xf>
    <xf numFmtId="170" fontId="8" fillId="0" borderId="1" pivotButton="0" quotePrefix="0" xfId="0"/>
    <xf numFmtId="170" fontId="8" fillId="0" borderId="0" pivotButton="0" quotePrefix="0" xfId="0"/>
    <xf numFmtId="168" fontId="23" fillId="0" borderId="0" applyAlignment="1" pivotButton="0" quotePrefix="0" xfId="0">
      <alignment horizontal="right"/>
    </xf>
    <xf numFmtId="172" fontId="21" fillId="0" borderId="0" pivotButton="0" quotePrefix="0" xfId="1"/>
    <xf numFmtId="172" fontId="11" fillId="0" borderId="2" applyAlignment="1" pivotButton="0" quotePrefix="0" xfId="1">
      <alignment horizontal="left" indent="1"/>
    </xf>
    <xf numFmtId="171" fontId="9" fillId="0" borderId="2" applyAlignment="1" pivotButton="0" quotePrefix="0" xfId="0">
      <alignment horizontal="center"/>
    </xf>
    <xf numFmtId="172" fontId="7" fillId="0" borderId="0" pivotButton="0" quotePrefix="0" xfId="1"/>
    <xf numFmtId="168" fontId="7" fillId="0" borderId="0" pivotButton="0" quotePrefix="0" xfId="0"/>
  </cellXfs>
  <cellStyles count="2">
    <cellStyle name="常规" xfId="0" builtinId="0"/>
    <cellStyle name="千位分隔" xfId="1" builtinId="3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I65"/>
  <sheetViews>
    <sheetView tabSelected="1" zoomScale="85" zoomScaleNormal="85" workbookViewId="0">
      <selection activeCell="F4" sqref="F4"/>
    </sheetView>
  </sheetViews>
  <sheetFormatPr baseColWidth="8" defaultColWidth="9" defaultRowHeight="14.25"/>
  <cols>
    <col width="17" customWidth="1" style="3" min="1" max="1"/>
    <col width="17.75" customWidth="1" style="3" min="2" max="2"/>
    <col width="12.125" customWidth="1" style="3" min="3" max="3"/>
    <col width="22.75" customWidth="1" style="4" min="4" max="4"/>
    <col width="21.5" customWidth="1" style="3" min="5" max="5"/>
    <col width="27.5" customWidth="1" style="3" min="6" max="6"/>
    <col width="9" customWidth="1" style="3" min="7" max="8"/>
    <col width="19.75" customWidth="1" style="3" min="9" max="9"/>
    <col width="9" customWidth="1" style="3" min="10" max="256"/>
    <col width="8.125" customWidth="1" style="3" min="257" max="257"/>
    <col width="12.625" customWidth="1" style="3" min="258" max="258"/>
    <col width="11.125" customWidth="1" style="3" min="259" max="259"/>
    <col width="16.125" customWidth="1" style="3" min="260" max="261"/>
    <col width="17.625" customWidth="1" style="3" min="262" max="262"/>
    <col width="9" customWidth="1" style="3" min="263" max="512"/>
    <col width="8.125" customWidth="1" style="3" min="513" max="513"/>
    <col width="12.625" customWidth="1" style="3" min="514" max="514"/>
    <col width="11.125" customWidth="1" style="3" min="515" max="515"/>
    <col width="16.125" customWidth="1" style="3" min="516" max="517"/>
    <col width="17.625" customWidth="1" style="3" min="518" max="518"/>
    <col width="9" customWidth="1" style="3" min="519" max="768"/>
    <col width="8.125" customWidth="1" style="3" min="769" max="769"/>
    <col width="12.625" customWidth="1" style="3" min="770" max="770"/>
    <col width="11.125" customWidth="1" style="3" min="771" max="771"/>
    <col width="16.125" customWidth="1" style="3" min="772" max="773"/>
    <col width="17.625" customWidth="1" style="3" min="774" max="774"/>
    <col width="9" customWidth="1" style="3" min="775" max="1024"/>
    <col width="8.125" customWidth="1" style="3" min="1025" max="1025"/>
    <col width="12.625" customWidth="1" style="3" min="1026" max="1026"/>
    <col width="11.125" customWidth="1" style="3" min="1027" max="1027"/>
    <col width="16.125" customWidth="1" style="3" min="1028" max="1029"/>
    <col width="17.625" customWidth="1" style="3" min="1030" max="1030"/>
    <col width="9" customWidth="1" style="3" min="1031" max="1280"/>
    <col width="8.125" customWidth="1" style="3" min="1281" max="1281"/>
    <col width="12.625" customWidth="1" style="3" min="1282" max="1282"/>
    <col width="11.125" customWidth="1" style="3" min="1283" max="1283"/>
    <col width="16.125" customWidth="1" style="3" min="1284" max="1285"/>
    <col width="17.625" customWidth="1" style="3" min="1286" max="1286"/>
    <col width="9" customWidth="1" style="3" min="1287" max="1536"/>
    <col width="8.125" customWidth="1" style="3" min="1537" max="1537"/>
    <col width="12.625" customWidth="1" style="3" min="1538" max="1538"/>
    <col width="11.125" customWidth="1" style="3" min="1539" max="1539"/>
    <col width="16.125" customWidth="1" style="3" min="1540" max="1541"/>
    <col width="17.625" customWidth="1" style="3" min="1542" max="1542"/>
    <col width="9" customWidth="1" style="3" min="1543" max="1792"/>
    <col width="8.125" customWidth="1" style="3" min="1793" max="1793"/>
    <col width="12.625" customWidth="1" style="3" min="1794" max="1794"/>
    <col width="11.125" customWidth="1" style="3" min="1795" max="1795"/>
    <col width="16.125" customWidth="1" style="3" min="1796" max="1797"/>
    <col width="17.625" customWidth="1" style="3" min="1798" max="1798"/>
    <col width="9" customWidth="1" style="3" min="1799" max="2048"/>
    <col width="8.125" customWidth="1" style="3" min="2049" max="2049"/>
    <col width="12.625" customWidth="1" style="3" min="2050" max="2050"/>
    <col width="11.125" customWidth="1" style="3" min="2051" max="2051"/>
    <col width="16.125" customWidth="1" style="3" min="2052" max="2053"/>
    <col width="17.625" customWidth="1" style="3" min="2054" max="2054"/>
    <col width="9" customWidth="1" style="3" min="2055" max="2304"/>
    <col width="8.125" customWidth="1" style="3" min="2305" max="2305"/>
    <col width="12.625" customWidth="1" style="3" min="2306" max="2306"/>
    <col width="11.125" customWidth="1" style="3" min="2307" max="2307"/>
    <col width="16.125" customWidth="1" style="3" min="2308" max="2309"/>
    <col width="17.625" customWidth="1" style="3" min="2310" max="2310"/>
    <col width="9" customWidth="1" style="3" min="2311" max="2560"/>
    <col width="8.125" customWidth="1" style="3" min="2561" max="2561"/>
    <col width="12.625" customWidth="1" style="3" min="2562" max="2562"/>
    <col width="11.125" customWidth="1" style="3" min="2563" max="2563"/>
    <col width="16.125" customWidth="1" style="3" min="2564" max="2565"/>
    <col width="17.625" customWidth="1" style="3" min="2566" max="2566"/>
    <col width="9" customWidth="1" style="3" min="2567" max="2816"/>
    <col width="8.125" customWidth="1" style="3" min="2817" max="2817"/>
    <col width="12.625" customWidth="1" style="3" min="2818" max="2818"/>
    <col width="11.125" customWidth="1" style="3" min="2819" max="2819"/>
    <col width="16.125" customWidth="1" style="3" min="2820" max="2821"/>
    <col width="17.625" customWidth="1" style="3" min="2822" max="2822"/>
    <col width="9" customWidth="1" style="3" min="2823" max="3072"/>
    <col width="8.125" customWidth="1" style="3" min="3073" max="3073"/>
    <col width="12.625" customWidth="1" style="3" min="3074" max="3074"/>
    <col width="11.125" customWidth="1" style="3" min="3075" max="3075"/>
    <col width="16.125" customWidth="1" style="3" min="3076" max="3077"/>
    <col width="17.625" customWidth="1" style="3" min="3078" max="3078"/>
    <col width="9" customWidth="1" style="3" min="3079" max="3328"/>
    <col width="8.125" customWidth="1" style="3" min="3329" max="3329"/>
    <col width="12.625" customWidth="1" style="3" min="3330" max="3330"/>
    <col width="11.125" customWidth="1" style="3" min="3331" max="3331"/>
    <col width="16.125" customWidth="1" style="3" min="3332" max="3333"/>
    <col width="17.625" customWidth="1" style="3" min="3334" max="3334"/>
    <col width="9" customWidth="1" style="3" min="3335" max="3584"/>
    <col width="8.125" customWidth="1" style="3" min="3585" max="3585"/>
    <col width="12.625" customWidth="1" style="3" min="3586" max="3586"/>
    <col width="11.125" customWidth="1" style="3" min="3587" max="3587"/>
    <col width="16.125" customWidth="1" style="3" min="3588" max="3589"/>
    <col width="17.625" customWidth="1" style="3" min="3590" max="3590"/>
    <col width="9" customWidth="1" style="3" min="3591" max="3840"/>
    <col width="8.125" customWidth="1" style="3" min="3841" max="3841"/>
    <col width="12.625" customWidth="1" style="3" min="3842" max="3842"/>
    <col width="11.125" customWidth="1" style="3" min="3843" max="3843"/>
    <col width="16.125" customWidth="1" style="3" min="3844" max="3845"/>
    <col width="17.625" customWidth="1" style="3" min="3846" max="3846"/>
    <col width="9" customWidth="1" style="3" min="3847" max="4096"/>
    <col width="8.125" customWidth="1" style="3" min="4097" max="4097"/>
    <col width="12.625" customWidth="1" style="3" min="4098" max="4098"/>
    <col width="11.125" customWidth="1" style="3" min="4099" max="4099"/>
    <col width="16.125" customWidth="1" style="3" min="4100" max="4101"/>
    <col width="17.625" customWidth="1" style="3" min="4102" max="4102"/>
    <col width="9" customWidth="1" style="3" min="4103" max="4352"/>
    <col width="8.125" customWidth="1" style="3" min="4353" max="4353"/>
    <col width="12.625" customWidth="1" style="3" min="4354" max="4354"/>
    <col width="11.125" customWidth="1" style="3" min="4355" max="4355"/>
    <col width="16.125" customWidth="1" style="3" min="4356" max="4357"/>
    <col width="17.625" customWidth="1" style="3" min="4358" max="4358"/>
    <col width="9" customWidth="1" style="3" min="4359" max="4608"/>
    <col width="8.125" customWidth="1" style="3" min="4609" max="4609"/>
    <col width="12.625" customWidth="1" style="3" min="4610" max="4610"/>
    <col width="11.125" customWidth="1" style="3" min="4611" max="4611"/>
    <col width="16.125" customWidth="1" style="3" min="4612" max="4613"/>
    <col width="17.625" customWidth="1" style="3" min="4614" max="4614"/>
    <col width="9" customWidth="1" style="3" min="4615" max="4864"/>
    <col width="8.125" customWidth="1" style="3" min="4865" max="4865"/>
    <col width="12.625" customWidth="1" style="3" min="4866" max="4866"/>
    <col width="11.125" customWidth="1" style="3" min="4867" max="4867"/>
    <col width="16.125" customWidth="1" style="3" min="4868" max="4869"/>
    <col width="17.625" customWidth="1" style="3" min="4870" max="4870"/>
    <col width="9" customWidth="1" style="3" min="4871" max="5120"/>
    <col width="8.125" customWidth="1" style="3" min="5121" max="5121"/>
    <col width="12.625" customWidth="1" style="3" min="5122" max="5122"/>
    <col width="11.125" customWidth="1" style="3" min="5123" max="5123"/>
    <col width="16.125" customWidth="1" style="3" min="5124" max="5125"/>
    <col width="17.625" customWidth="1" style="3" min="5126" max="5126"/>
    <col width="9" customWidth="1" style="3" min="5127" max="5376"/>
    <col width="8.125" customWidth="1" style="3" min="5377" max="5377"/>
    <col width="12.625" customWidth="1" style="3" min="5378" max="5378"/>
    <col width="11.125" customWidth="1" style="3" min="5379" max="5379"/>
    <col width="16.125" customWidth="1" style="3" min="5380" max="5381"/>
    <col width="17.625" customWidth="1" style="3" min="5382" max="5382"/>
    <col width="9" customWidth="1" style="3" min="5383" max="5632"/>
    <col width="8.125" customWidth="1" style="3" min="5633" max="5633"/>
    <col width="12.625" customWidth="1" style="3" min="5634" max="5634"/>
    <col width="11.125" customWidth="1" style="3" min="5635" max="5635"/>
    <col width="16.125" customWidth="1" style="3" min="5636" max="5637"/>
    <col width="17.625" customWidth="1" style="3" min="5638" max="5638"/>
    <col width="9" customWidth="1" style="3" min="5639" max="5888"/>
    <col width="8.125" customWidth="1" style="3" min="5889" max="5889"/>
    <col width="12.625" customWidth="1" style="3" min="5890" max="5890"/>
    <col width="11.125" customWidth="1" style="3" min="5891" max="5891"/>
    <col width="16.125" customWidth="1" style="3" min="5892" max="5893"/>
    <col width="17.625" customWidth="1" style="3" min="5894" max="5894"/>
    <col width="9" customWidth="1" style="3" min="5895" max="6144"/>
    <col width="8.125" customWidth="1" style="3" min="6145" max="6145"/>
    <col width="12.625" customWidth="1" style="3" min="6146" max="6146"/>
    <col width="11.125" customWidth="1" style="3" min="6147" max="6147"/>
    <col width="16.125" customWidth="1" style="3" min="6148" max="6149"/>
    <col width="17.625" customWidth="1" style="3" min="6150" max="6150"/>
    <col width="9" customWidth="1" style="3" min="6151" max="6400"/>
    <col width="8.125" customWidth="1" style="3" min="6401" max="6401"/>
    <col width="12.625" customWidth="1" style="3" min="6402" max="6402"/>
    <col width="11.125" customWidth="1" style="3" min="6403" max="6403"/>
    <col width="16.125" customWidth="1" style="3" min="6404" max="6405"/>
    <col width="17.625" customWidth="1" style="3" min="6406" max="6406"/>
    <col width="9" customWidth="1" style="3" min="6407" max="6656"/>
    <col width="8.125" customWidth="1" style="3" min="6657" max="6657"/>
    <col width="12.625" customWidth="1" style="3" min="6658" max="6658"/>
    <col width="11.125" customWidth="1" style="3" min="6659" max="6659"/>
    <col width="16.125" customWidth="1" style="3" min="6660" max="6661"/>
    <col width="17.625" customWidth="1" style="3" min="6662" max="6662"/>
    <col width="9" customWidth="1" style="3" min="6663" max="6912"/>
    <col width="8.125" customWidth="1" style="3" min="6913" max="6913"/>
    <col width="12.625" customWidth="1" style="3" min="6914" max="6914"/>
    <col width="11.125" customWidth="1" style="3" min="6915" max="6915"/>
    <col width="16.125" customWidth="1" style="3" min="6916" max="6917"/>
    <col width="17.625" customWidth="1" style="3" min="6918" max="6918"/>
    <col width="9" customWidth="1" style="3" min="6919" max="7168"/>
    <col width="8.125" customWidth="1" style="3" min="7169" max="7169"/>
    <col width="12.625" customWidth="1" style="3" min="7170" max="7170"/>
    <col width="11.125" customWidth="1" style="3" min="7171" max="7171"/>
    <col width="16.125" customWidth="1" style="3" min="7172" max="7173"/>
    <col width="17.625" customWidth="1" style="3" min="7174" max="7174"/>
    <col width="9" customWidth="1" style="3" min="7175" max="7424"/>
    <col width="8.125" customWidth="1" style="3" min="7425" max="7425"/>
    <col width="12.625" customWidth="1" style="3" min="7426" max="7426"/>
    <col width="11.125" customWidth="1" style="3" min="7427" max="7427"/>
    <col width="16.125" customWidth="1" style="3" min="7428" max="7429"/>
    <col width="17.625" customWidth="1" style="3" min="7430" max="7430"/>
    <col width="9" customWidth="1" style="3" min="7431" max="7680"/>
    <col width="8.125" customWidth="1" style="3" min="7681" max="7681"/>
    <col width="12.625" customWidth="1" style="3" min="7682" max="7682"/>
    <col width="11.125" customWidth="1" style="3" min="7683" max="7683"/>
    <col width="16.125" customWidth="1" style="3" min="7684" max="7685"/>
    <col width="17.625" customWidth="1" style="3" min="7686" max="7686"/>
    <col width="9" customWidth="1" style="3" min="7687" max="7936"/>
    <col width="8.125" customWidth="1" style="3" min="7937" max="7937"/>
    <col width="12.625" customWidth="1" style="3" min="7938" max="7938"/>
    <col width="11.125" customWidth="1" style="3" min="7939" max="7939"/>
    <col width="16.125" customWidth="1" style="3" min="7940" max="7941"/>
    <col width="17.625" customWidth="1" style="3" min="7942" max="7942"/>
    <col width="9" customWidth="1" style="3" min="7943" max="8192"/>
    <col width="8.125" customWidth="1" style="3" min="8193" max="8193"/>
    <col width="12.625" customWidth="1" style="3" min="8194" max="8194"/>
    <col width="11.125" customWidth="1" style="3" min="8195" max="8195"/>
    <col width="16.125" customWidth="1" style="3" min="8196" max="8197"/>
    <col width="17.625" customWidth="1" style="3" min="8198" max="8198"/>
    <col width="9" customWidth="1" style="3" min="8199" max="8448"/>
    <col width="8.125" customWidth="1" style="3" min="8449" max="8449"/>
    <col width="12.625" customWidth="1" style="3" min="8450" max="8450"/>
    <col width="11.125" customWidth="1" style="3" min="8451" max="8451"/>
    <col width="16.125" customWidth="1" style="3" min="8452" max="8453"/>
    <col width="17.625" customWidth="1" style="3" min="8454" max="8454"/>
    <col width="9" customWidth="1" style="3" min="8455" max="8704"/>
    <col width="8.125" customWidth="1" style="3" min="8705" max="8705"/>
    <col width="12.625" customWidth="1" style="3" min="8706" max="8706"/>
    <col width="11.125" customWidth="1" style="3" min="8707" max="8707"/>
    <col width="16.125" customWidth="1" style="3" min="8708" max="8709"/>
    <col width="17.625" customWidth="1" style="3" min="8710" max="8710"/>
    <col width="9" customWidth="1" style="3" min="8711" max="8960"/>
    <col width="8.125" customWidth="1" style="3" min="8961" max="8961"/>
    <col width="12.625" customWidth="1" style="3" min="8962" max="8962"/>
    <col width="11.125" customWidth="1" style="3" min="8963" max="8963"/>
    <col width="16.125" customWidth="1" style="3" min="8964" max="8965"/>
    <col width="17.625" customWidth="1" style="3" min="8966" max="8966"/>
    <col width="9" customWidth="1" style="3" min="8967" max="9216"/>
    <col width="8.125" customWidth="1" style="3" min="9217" max="9217"/>
    <col width="12.625" customWidth="1" style="3" min="9218" max="9218"/>
    <col width="11.125" customWidth="1" style="3" min="9219" max="9219"/>
    <col width="16.125" customWidth="1" style="3" min="9220" max="9221"/>
    <col width="17.625" customWidth="1" style="3" min="9222" max="9222"/>
    <col width="9" customWidth="1" style="3" min="9223" max="9472"/>
    <col width="8.125" customWidth="1" style="3" min="9473" max="9473"/>
    <col width="12.625" customWidth="1" style="3" min="9474" max="9474"/>
    <col width="11.125" customWidth="1" style="3" min="9475" max="9475"/>
    <col width="16.125" customWidth="1" style="3" min="9476" max="9477"/>
    <col width="17.625" customWidth="1" style="3" min="9478" max="9478"/>
    <col width="9" customWidth="1" style="3" min="9479" max="9728"/>
    <col width="8.125" customWidth="1" style="3" min="9729" max="9729"/>
    <col width="12.625" customWidth="1" style="3" min="9730" max="9730"/>
    <col width="11.125" customWidth="1" style="3" min="9731" max="9731"/>
    <col width="16.125" customWidth="1" style="3" min="9732" max="9733"/>
    <col width="17.625" customWidth="1" style="3" min="9734" max="9734"/>
    <col width="9" customWidth="1" style="3" min="9735" max="9984"/>
    <col width="8.125" customWidth="1" style="3" min="9985" max="9985"/>
    <col width="12.625" customWidth="1" style="3" min="9986" max="9986"/>
    <col width="11.125" customWidth="1" style="3" min="9987" max="9987"/>
    <col width="16.125" customWidth="1" style="3" min="9988" max="9989"/>
    <col width="17.625" customWidth="1" style="3" min="9990" max="9990"/>
    <col width="9" customWidth="1" style="3" min="9991" max="10240"/>
    <col width="8.125" customWidth="1" style="3" min="10241" max="10241"/>
    <col width="12.625" customWidth="1" style="3" min="10242" max="10242"/>
    <col width="11.125" customWidth="1" style="3" min="10243" max="10243"/>
    <col width="16.125" customWidth="1" style="3" min="10244" max="10245"/>
    <col width="17.625" customWidth="1" style="3" min="10246" max="10246"/>
    <col width="9" customWidth="1" style="3" min="10247" max="10496"/>
    <col width="8.125" customWidth="1" style="3" min="10497" max="10497"/>
    <col width="12.625" customWidth="1" style="3" min="10498" max="10498"/>
    <col width="11.125" customWidth="1" style="3" min="10499" max="10499"/>
    <col width="16.125" customWidth="1" style="3" min="10500" max="10501"/>
    <col width="17.625" customWidth="1" style="3" min="10502" max="10502"/>
    <col width="9" customWidth="1" style="3" min="10503" max="10752"/>
    <col width="8.125" customWidth="1" style="3" min="10753" max="10753"/>
    <col width="12.625" customWidth="1" style="3" min="10754" max="10754"/>
    <col width="11.125" customWidth="1" style="3" min="10755" max="10755"/>
    <col width="16.125" customWidth="1" style="3" min="10756" max="10757"/>
    <col width="17.625" customWidth="1" style="3" min="10758" max="10758"/>
    <col width="9" customWidth="1" style="3" min="10759" max="11008"/>
    <col width="8.125" customWidth="1" style="3" min="11009" max="11009"/>
    <col width="12.625" customWidth="1" style="3" min="11010" max="11010"/>
    <col width="11.125" customWidth="1" style="3" min="11011" max="11011"/>
    <col width="16.125" customWidth="1" style="3" min="11012" max="11013"/>
    <col width="17.625" customWidth="1" style="3" min="11014" max="11014"/>
    <col width="9" customWidth="1" style="3" min="11015" max="11264"/>
    <col width="8.125" customWidth="1" style="3" min="11265" max="11265"/>
    <col width="12.625" customWidth="1" style="3" min="11266" max="11266"/>
    <col width="11.125" customWidth="1" style="3" min="11267" max="11267"/>
    <col width="16.125" customWidth="1" style="3" min="11268" max="11269"/>
    <col width="17.625" customWidth="1" style="3" min="11270" max="11270"/>
    <col width="9" customWidth="1" style="3" min="11271" max="11520"/>
    <col width="8.125" customWidth="1" style="3" min="11521" max="11521"/>
    <col width="12.625" customWidth="1" style="3" min="11522" max="11522"/>
    <col width="11.125" customWidth="1" style="3" min="11523" max="11523"/>
    <col width="16.125" customWidth="1" style="3" min="11524" max="11525"/>
    <col width="17.625" customWidth="1" style="3" min="11526" max="11526"/>
    <col width="9" customWidth="1" style="3" min="11527" max="11776"/>
    <col width="8.125" customWidth="1" style="3" min="11777" max="11777"/>
    <col width="12.625" customWidth="1" style="3" min="11778" max="11778"/>
    <col width="11.125" customWidth="1" style="3" min="11779" max="11779"/>
    <col width="16.125" customWidth="1" style="3" min="11780" max="11781"/>
    <col width="17.625" customWidth="1" style="3" min="11782" max="11782"/>
    <col width="9" customWidth="1" style="3" min="11783" max="12032"/>
    <col width="8.125" customWidth="1" style="3" min="12033" max="12033"/>
    <col width="12.625" customWidth="1" style="3" min="12034" max="12034"/>
    <col width="11.125" customWidth="1" style="3" min="12035" max="12035"/>
    <col width="16.125" customWidth="1" style="3" min="12036" max="12037"/>
    <col width="17.625" customWidth="1" style="3" min="12038" max="12038"/>
    <col width="9" customWidth="1" style="3" min="12039" max="12288"/>
    <col width="8.125" customWidth="1" style="3" min="12289" max="12289"/>
    <col width="12.625" customWidth="1" style="3" min="12290" max="12290"/>
    <col width="11.125" customWidth="1" style="3" min="12291" max="12291"/>
    <col width="16.125" customWidth="1" style="3" min="12292" max="12293"/>
    <col width="17.625" customWidth="1" style="3" min="12294" max="12294"/>
    <col width="9" customWidth="1" style="3" min="12295" max="12544"/>
    <col width="8.125" customWidth="1" style="3" min="12545" max="12545"/>
    <col width="12.625" customWidth="1" style="3" min="12546" max="12546"/>
    <col width="11.125" customWidth="1" style="3" min="12547" max="12547"/>
    <col width="16.125" customWidth="1" style="3" min="12548" max="12549"/>
    <col width="17.625" customWidth="1" style="3" min="12550" max="12550"/>
    <col width="9" customWidth="1" style="3" min="12551" max="12800"/>
    <col width="8.125" customWidth="1" style="3" min="12801" max="12801"/>
    <col width="12.625" customWidth="1" style="3" min="12802" max="12802"/>
    <col width="11.125" customWidth="1" style="3" min="12803" max="12803"/>
    <col width="16.125" customWidth="1" style="3" min="12804" max="12805"/>
    <col width="17.625" customWidth="1" style="3" min="12806" max="12806"/>
    <col width="9" customWidth="1" style="3" min="12807" max="13056"/>
    <col width="8.125" customWidth="1" style="3" min="13057" max="13057"/>
    <col width="12.625" customWidth="1" style="3" min="13058" max="13058"/>
    <col width="11.125" customWidth="1" style="3" min="13059" max="13059"/>
    <col width="16.125" customWidth="1" style="3" min="13060" max="13061"/>
    <col width="17.625" customWidth="1" style="3" min="13062" max="13062"/>
    <col width="9" customWidth="1" style="3" min="13063" max="13312"/>
    <col width="8.125" customWidth="1" style="3" min="13313" max="13313"/>
    <col width="12.625" customWidth="1" style="3" min="13314" max="13314"/>
    <col width="11.125" customWidth="1" style="3" min="13315" max="13315"/>
    <col width="16.125" customWidth="1" style="3" min="13316" max="13317"/>
    <col width="17.625" customWidth="1" style="3" min="13318" max="13318"/>
    <col width="9" customWidth="1" style="3" min="13319" max="13568"/>
    <col width="8.125" customWidth="1" style="3" min="13569" max="13569"/>
    <col width="12.625" customWidth="1" style="3" min="13570" max="13570"/>
    <col width="11.125" customWidth="1" style="3" min="13571" max="13571"/>
    <col width="16.125" customWidth="1" style="3" min="13572" max="13573"/>
    <col width="17.625" customWidth="1" style="3" min="13574" max="13574"/>
    <col width="9" customWidth="1" style="3" min="13575" max="13824"/>
    <col width="8.125" customWidth="1" style="3" min="13825" max="13825"/>
    <col width="12.625" customWidth="1" style="3" min="13826" max="13826"/>
    <col width="11.125" customWidth="1" style="3" min="13827" max="13827"/>
    <col width="16.125" customWidth="1" style="3" min="13828" max="13829"/>
    <col width="17.625" customWidth="1" style="3" min="13830" max="13830"/>
    <col width="9" customWidth="1" style="3" min="13831" max="14080"/>
    <col width="8.125" customWidth="1" style="3" min="14081" max="14081"/>
    <col width="12.625" customWidth="1" style="3" min="14082" max="14082"/>
    <col width="11.125" customWidth="1" style="3" min="14083" max="14083"/>
    <col width="16.125" customWidth="1" style="3" min="14084" max="14085"/>
    <col width="17.625" customWidth="1" style="3" min="14086" max="14086"/>
    <col width="9" customWidth="1" style="3" min="14087" max="14336"/>
    <col width="8.125" customWidth="1" style="3" min="14337" max="14337"/>
    <col width="12.625" customWidth="1" style="3" min="14338" max="14338"/>
    <col width="11.125" customWidth="1" style="3" min="14339" max="14339"/>
    <col width="16.125" customWidth="1" style="3" min="14340" max="14341"/>
    <col width="17.625" customWidth="1" style="3" min="14342" max="14342"/>
    <col width="9" customWidth="1" style="3" min="14343" max="14592"/>
    <col width="8.125" customWidth="1" style="3" min="14593" max="14593"/>
    <col width="12.625" customWidth="1" style="3" min="14594" max="14594"/>
    <col width="11.125" customWidth="1" style="3" min="14595" max="14595"/>
    <col width="16.125" customWidth="1" style="3" min="14596" max="14597"/>
    <col width="17.625" customWidth="1" style="3" min="14598" max="14598"/>
    <col width="9" customWidth="1" style="3" min="14599" max="14848"/>
    <col width="8.125" customWidth="1" style="3" min="14849" max="14849"/>
    <col width="12.625" customWidth="1" style="3" min="14850" max="14850"/>
    <col width="11.125" customWidth="1" style="3" min="14851" max="14851"/>
    <col width="16.125" customWidth="1" style="3" min="14852" max="14853"/>
    <col width="17.625" customWidth="1" style="3" min="14854" max="14854"/>
    <col width="9" customWidth="1" style="3" min="14855" max="15104"/>
    <col width="8.125" customWidth="1" style="3" min="15105" max="15105"/>
    <col width="12.625" customWidth="1" style="3" min="15106" max="15106"/>
    <col width="11.125" customWidth="1" style="3" min="15107" max="15107"/>
    <col width="16.125" customWidth="1" style="3" min="15108" max="15109"/>
    <col width="17.625" customWidth="1" style="3" min="15110" max="15110"/>
    <col width="9" customWidth="1" style="3" min="15111" max="15360"/>
    <col width="8.125" customWidth="1" style="3" min="15361" max="15361"/>
    <col width="12.625" customWidth="1" style="3" min="15362" max="15362"/>
    <col width="11.125" customWidth="1" style="3" min="15363" max="15363"/>
    <col width="16.125" customWidth="1" style="3" min="15364" max="15365"/>
    <col width="17.625" customWidth="1" style="3" min="15366" max="15366"/>
    <col width="9" customWidth="1" style="3" min="15367" max="15616"/>
    <col width="8.125" customWidth="1" style="3" min="15617" max="15617"/>
    <col width="12.625" customWidth="1" style="3" min="15618" max="15618"/>
    <col width="11.125" customWidth="1" style="3" min="15619" max="15619"/>
    <col width="16.125" customWidth="1" style="3" min="15620" max="15621"/>
    <col width="17.625" customWidth="1" style="3" min="15622" max="15622"/>
    <col width="9" customWidth="1" style="3" min="15623" max="15872"/>
    <col width="8.125" customWidth="1" style="3" min="15873" max="15873"/>
    <col width="12.625" customWidth="1" style="3" min="15874" max="15874"/>
    <col width="11.125" customWidth="1" style="3" min="15875" max="15875"/>
    <col width="16.125" customWidth="1" style="3" min="15876" max="15877"/>
    <col width="17.625" customWidth="1" style="3" min="15878" max="15878"/>
    <col width="9" customWidth="1" style="3" min="15879" max="16128"/>
    <col width="8.125" customWidth="1" style="3" min="16129" max="16129"/>
    <col width="12.625" customWidth="1" style="3" min="16130" max="16130"/>
    <col width="11.125" customWidth="1" style="3" min="16131" max="16131"/>
    <col width="16.125" customWidth="1" style="3" min="16132" max="16133"/>
    <col width="17.625" customWidth="1" style="3" min="16134" max="16134"/>
    <col width="9" customWidth="1" style="3" min="16135" max="16384"/>
  </cols>
  <sheetData>
    <row r="1" ht="26.25" customHeight="1">
      <c r="A1" s="76" t="inlineStr">
        <is>
          <t>DEM CLAIM</t>
        </is>
      </c>
    </row>
    <row r="2" ht="18" customHeight="1">
      <c r="A2" s="6" t="inlineStr">
        <is>
          <t>Charterer:</t>
        </is>
      </c>
      <c r="B2" s="77" t="n"/>
      <c r="E2" s="6" t="inlineStr">
        <is>
          <t>Vessel:</t>
        </is>
      </c>
      <c r="F2" s="78" t="n"/>
      <c r="G2" s="78" t="n"/>
      <c r="H2" s="78" t="n"/>
      <c r="I2" s="78" t="n"/>
    </row>
    <row r="3" ht="18" customHeight="1">
      <c r="A3" s="6" t="inlineStr">
        <is>
          <t>Charterer Ref:</t>
        </is>
      </c>
      <c r="B3" s="77" t="n"/>
      <c r="E3" s="9" t="inlineStr">
        <is>
          <t>CP date:</t>
        </is>
      </c>
      <c r="F3" s="89" t="n"/>
      <c r="G3" s="78" t="n"/>
      <c r="H3" s="78" t="n"/>
      <c r="I3" s="78" t="n"/>
    </row>
    <row r="4" ht="18" customHeight="1">
      <c r="A4" s="6" t="inlineStr">
        <is>
          <t>Owner:</t>
        </is>
      </c>
      <c r="B4" s="77" t="n"/>
      <c r="E4" s="6" t="inlineStr">
        <is>
          <t>Demurrage Rate:</t>
        </is>
      </c>
      <c r="F4" s="90" t="n"/>
      <c r="G4" s="12" t="n"/>
      <c r="H4" s="12" t="n"/>
      <c r="I4" s="12" t="n"/>
    </row>
    <row r="5" ht="18" customHeight="1">
      <c r="A5" s="6" t="inlineStr">
        <is>
          <t>Owner Ref:</t>
        </is>
      </c>
      <c r="B5" s="77" t="n"/>
      <c r="E5" s="9" t="inlineStr">
        <is>
          <t>Total Cargo Qtty:</t>
        </is>
      </c>
      <c r="F5" s="90" t="n"/>
      <c r="G5" s="78" t="n"/>
      <c r="H5" s="78" t="n"/>
      <c r="I5" s="78" t="n"/>
    </row>
    <row r="6" ht="18" customHeight="1">
      <c r="A6" s="6" t="inlineStr">
        <is>
          <t>Broker:</t>
        </is>
      </c>
      <c r="B6" s="77" t="n"/>
      <c r="E6" s="9" t="inlineStr">
        <is>
          <t>Currency:</t>
        </is>
      </c>
      <c r="F6" s="78" t="n"/>
      <c r="G6" s="78" t="n"/>
      <c r="H6" s="78" t="n"/>
      <c r="I6" s="78" t="n"/>
    </row>
    <row r="7" ht="18" customHeight="1">
      <c r="A7" s="6" t="n"/>
      <c r="B7" s="77" t="n"/>
      <c r="E7" s="9" t="n"/>
      <c r="F7" s="13" t="n"/>
      <c r="G7" s="78" t="n"/>
      <c r="H7" s="78" t="n"/>
      <c r="I7" s="78" t="n"/>
    </row>
    <row r="8" ht="18" customHeight="1">
      <c r="A8" s="6" t="n"/>
      <c r="B8" s="13" t="n"/>
      <c r="C8" s="78" t="n"/>
      <c r="D8" s="9" t="inlineStr">
        <is>
          <t>Original:</t>
        </is>
      </c>
      <c r="E8" s="9" t="n"/>
      <c r="F8" s="13" t="n"/>
      <c r="G8" s="78" t="n"/>
      <c r="H8" s="78" t="n"/>
      <c r="I8" s="78" t="n"/>
    </row>
    <row r="9" ht="18" customHeight="1">
      <c r="A9" s="6" t="n"/>
      <c r="B9" s="13" t="n"/>
      <c r="C9" s="9" t="inlineStr">
        <is>
          <t>Laycan Start</t>
        </is>
      </c>
      <c r="D9" s="91" t="n"/>
      <c r="E9" s="91" t="n"/>
      <c r="F9" s="13" t="n"/>
      <c r="G9" s="78" t="n"/>
      <c r="H9" s="78" t="n"/>
      <c r="I9" s="78" t="n"/>
    </row>
    <row r="10" ht="18" customHeight="1">
      <c r="A10" s="6" t="n"/>
      <c r="B10" s="13" t="n"/>
      <c r="C10" s="9" t="inlineStr">
        <is>
          <t>Laycan End</t>
        </is>
      </c>
      <c r="D10" s="91" t="n"/>
      <c r="E10" s="91" t="n"/>
      <c r="F10" s="13" t="n"/>
      <c r="G10" s="78" t="n"/>
      <c r="H10" s="78" t="n"/>
      <c r="I10" s="78" t="n"/>
    </row>
    <row r="11" ht="18" customHeight="1">
      <c r="A11" s="6" t="n"/>
      <c r="B11" s="15" t="n"/>
      <c r="C11" s="16" t="n"/>
      <c r="D11" s="16" t="n"/>
      <c r="E11" s="9" t="n"/>
      <c r="F11" s="13" t="n"/>
      <c r="G11" s="78" t="n"/>
      <c r="H11" s="78" t="n"/>
      <c r="I11" s="92" t="n"/>
    </row>
    <row r="12" ht="18" customHeight="1">
      <c r="A12" s="78" t="n"/>
      <c r="B12" s="83" t="inlineStr">
        <is>
          <t>Allowed</t>
        </is>
      </c>
      <c r="C12" s="83" t="inlineStr">
        <is>
          <t>Used</t>
        </is>
      </c>
      <c r="D12" s="83" t="inlineStr">
        <is>
          <t>Excess</t>
        </is>
      </c>
      <c r="E12" s="83" t="inlineStr">
        <is>
          <t>Demurrage</t>
        </is>
      </c>
      <c r="F12" s="13" t="n"/>
      <c r="G12" s="78" t="n"/>
      <c r="H12" s="78" t="n"/>
      <c r="I12" s="78" t="n"/>
    </row>
    <row r="13" ht="18" customHeight="1">
      <c r="A13" s="6" t="inlineStr">
        <is>
          <t>Lay Time:</t>
        </is>
      </c>
      <c r="B13" s="93">
        <f>IF(AND(B35="",B60=""),"",N(B35)+N(B60))</f>
        <v/>
      </c>
      <c r="C13" s="93">
        <f>IF(AND(D35="",D60=""),"",N(D35)+N(D60))</f>
        <v/>
      </c>
      <c r="D13" s="93">
        <f>IF(OR(B13="",C13=""),"",C13-B13)</f>
        <v/>
      </c>
      <c r="E13" s="94">
        <f>IF(OR(D13="",$F$4=""),"",D13/24*$F$4)</f>
        <v/>
      </c>
      <c r="F13" s="13" t="n"/>
      <c r="G13" s="78" t="n"/>
      <c r="H13" s="78" t="n"/>
      <c r="I13" s="78" t="n"/>
    </row>
    <row r="14" ht="15" customHeight="1">
      <c r="A14" s="21" t="n"/>
      <c r="B14" s="22" t="n"/>
      <c r="C14" s="95" t="n"/>
      <c r="D14" s="24" t="n"/>
      <c r="E14" s="25" t="n"/>
      <c r="F14" s="21" t="n"/>
      <c r="G14" s="78" t="n"/>
      <c r="H14" s="26" t="n"/>
      <c r="I14" s="78" t="n"/>
    </row>
    <row r="15" ht="15" customHeight="1" thickTop="1">
      <c r="A15" s="78" t="n"/>
      <c r="B15" s="26" t="n"/>
      <c r="C15" s="96" t="n"/>
      <c r="D15" s="6" t="n"/>
      <c r="E15" s="28" t="n"/>
      <c r="F15" s="78" t="n"/>
      <c r="G15" s="78" t="n"/>
      <c r="H15" s="26" t="n"/>
      <c r="I15" s="78" t="n"/>
    </row>
    <row r="16" ht="15" customHeight="1">
      <c r="A16" s="29" t="inlineStr">
        <is>
          <t>LOAD</t>
        </is>
      </c>
      <c r="B16" s="83" t="inlineStr">
        <is>
          <t>Port:</t>
        </is>
      </c>
      <c r="C16" s="16" t="n"/>
      <c r="D16" s="83" t="inlineStr">
        <is>
          <t>Berth:</t>
        </is>
      </c>
      <c r="E16" s="16" t="n"/>
      <c r="F16" s="97" t="n"/>
      <c r="G16" s="78" t="n"/>
      <c r="H16" s="78" t="n"/>
      <c r="I16" s="78" t="n"/>
    </row>
    <row r="17" ht="15" customHeight="1">
      <c r="A17" s="83" t="n"/>
      <c r="B17" s="83" t="n"/>
      <c r="C17" s="30" t="n"/>
      <c r="D17" s="31" t="n"/>
      <c r="E17" s="32" t="n"/>
      <c r="F17" s="98" t="n"/>
      <c r="G17" s="78" t="n"/>
      <c r="H17" s="78" t="n"/>
      <c r="I17" s="78" t="n"/>
    </row>
    <row r="18" ht="13.5" customHeight="1">
      <c r="A18" s="82" t="inlineStr">
        <is>
          <t>Description</t>
        </is>
      </c>
      <c r="D18" s="79" t="inlineStr">
        <is>
          <t>Date/Time</t>
        </is>
      </c>
      <c r="E18" s="79" t="inlineStr">
        <is>
          <t>Remark</t>
        </is>
      </c>
      <c r="G18" s="78" t="n"/>
      <c r="H18" s="78" t="n"/>
      <c r="I18" s="78" t="n"/>
    </row>
    <row r="19" ht="13.5" customHeight="1">
      <c r="A19" s="78" t="inlineStr">
        <is>
          <t>NOR TENDERED (递交准备就绪通知书）</t>
        </is>
      </c>
      <c r="D19" s="35" t="n"/>
      <c r="E19" s="36" t="n"/>
      <c r="F19" s="35" t="n"/>
      <c r="G19" s="78" t="n"/>
      <c r="H19" s="78" t="n"/>
      <c r="I19" s="78" t="n"/>
    </row>
    <row r="20" ht="13.5" customHeight="1">
      <c r="A20" s="78" t="inlineStr">
        <is>
          <t>ANCHOR UP(起锚）</t>
        </is>
      </c>
      <c r="B20" s="78" t="n"/>
      <c r="C20" s="78" t="n"/>
      <c r="D20" s="35" t="n"/>
      <c r="E20" s="77" t="n"/>
      <c r="F20" s="84" t="n"/>
      <c r="G20" s="78" t="n"/>
      <c r="H20" s="78" t="n"/>
      <c r="I20" s="78" t="n"/>
    </row>
    <row r="21" ht="13.5" customHeight="1">
      <c r="A21" s="78" t="inlineStr">
        <is>
          <t>ALL FAST（靠泊）</t>
        </is>
      </c>
      <c r="D21" s="35" t="n"/>
      <c r="E21" s="13" t="n"/>
      <c r="F21" s="73" t="n"/>
      <c r="G21" s="78" t="n"/>
      <c r="H21" s="78" t="n"/>
      <c r="I21" s="78" t="n"/>
    </row>
    <row r="22" ht="13.5" customHeight="1">
      <c r="A22" s="78" t="inlineStr">
        <is>
          <t>HOSE ON(接管)</t>
        </is>
      </c>
      <c r="B22" s="78" t="n"/>
      <c r="C22" s="78" t="n"/>
      <c r="D22" s="35" t="n"/>
      <c r="E22" s="13" t="n"/>
      <c r="F22" s="78" t="n"/>
      <c r="G22" s="78" t="n"/>
      <c r="H22" s="78" t="n"/>
      <c r="I22" s="78" t="n"/>
    </row>
    <row r="23" ht="13.5" customHeight="1">
      <c r="A23" s="78" t="inlineStr">
        <is>
          <t>LOAD COMMENCE (装货）</t>
        </is>
      </c>
      <c r="B23" s="78" t="n"/>
      <c r="C23" s="78" t="n"/>
      <c r="D23" s="35" t="n"/>
      <c r="E23" s="78" t="n"/>
      <c r="F23" s="59" t="n"/>
      <c r="G23" s="78" t="n"/>
      <c r="H23" s="78" t="n"/>
      <c r="I23" s="78" t="n"/>
    </row>
    <row r="24" ht="13.5" customHeight="1">
      <c r="A24" s="78" t="inlineStr">
        <is>
          <t>LOAD COMPLETE (完货）</t>
        </is>
      </c>
      <c r="B24" s="78" t="n"/>
      <c r="C24" s="78" t="n"/>
      <c r="D24" s="35" t="n"/>
      <c r="E24" s="13" t="n"/>
      <c r="F24" s="84" t="n"/>
      <c r="G24" s="78" t="n"/>
      <c r="H24" s="78" t="n"/>
      <c r="I24" s="78" t="n"/>
    </row>
    <row r="25" ht="13.5" customHeight="1">
      <c r="A25" s="80" t="inlineStr">
        <is>
          <t>HOSE OFF (拆管）</t>
        </is>
      </c>
      <c r="D25" s="35" t="n"/>
      <c r="E25" s="13" t="n"/>
      <c r="F25" s="59" t="n"/>
      <c r="G25" s="78" t="n"/>
      <c r="H25" s="78" t="n"/>
      <c r="I25" s="78" t="n"/>
    </row>
    <row r="26" ht="13.5" customHeight="1">
      <c r="A26" s="80" t="n"/>
      <c r="B26" s="80" t="n"/>
      <c r="C26" s="80" t="n"/>
      <c r="D26" s="39" t="n"/>
      <c r="E26" s="13" t="n"/>
      <c r="F26" s="84" t="n"/>
      <c r="G26" s="78" t="n"/>
      <c r="H26" s="78" t="n"/>
      <c r="I26" s="78" t="n"/>
    </row>
    <row r="27" ht="13.5" customFormat="1" customHeight="1" s="1">
      <c r="A27" s="81" t="inlineStr">
        <is>
          <t>LAYTIME TO COMMENCE（装卸时间起算）</t>
        </is>
      </c>
      <c r="D27" s="35">
        <f>IF(OR(D19="",D23=""),"",MIN(D19+TIME(6,0,0),D23))</f>
        <v/>
      </c>
      <c r="E27" s="75" t="n"/>
      <c r="F27" s="59" t="n"/>
      <c r="G27" s="78" t="n"/>
      <c r="H27" s="78" t="n"/>
      <c r="I27" s="78" t="n"/>
    </row>
    <row r="28" ht="13.5" customHeight="1">
      <c r="A28" s="78" t="inlineStr">
        <is>
          <t>LAYTIME TO CEASE（装卸时间停止）</t>
        </is>
      </c>
      <c r="D28" s="35">
        <f>IF(D25="","",D25)</f>
        <v/>
      </c>
      <c r="E28" s="74" t="n"/>
      <c r="F28" s="84" t="n"/>
      <c r="G28" s="78" t="n"/>
      <c r="H28" s="78" t="n"/>
      <c r="I28" s="78" t="n"/>
    </row>
    <row r="29" ht="13.5" customHeight="1">
      <c r="A29" s="77" t="n"/>
      <c r="D29" s="41" t="n"/>
      <c r="E29" s="78" t="n"/>
      <c r="F29" s="59" t="n"/>
      <c r="G29" s="78" t="n"/>
      <c r="H29" s="78" t="n"/>
      <c r="I29" s="78" t="n"/>
    </row>
    <row r="30" ht="13.5" customHeight="1">
      <c r="A30" s="86" t="inlineStr">
        <is>
          <t xml:space="preserve">Gross Time（总时间） </t>
        </is>
      </c>
      <c r="D30" s="99">
        <f>IF(OR(D28="",D27=""),"",(D28-D27)*24)</f>
        <v/>
      </c>
      <c r="E30" s="78" t="inlineStr">
        <is>
          <t>Hours</t>
        </is>
      </c>
      <c r="F30" s="84" t="n"/>
      <c r="G30" s="78" t="n"/>
      <c r="H30" s="78" t="n"/>
      <c r="I30" s="78" t="n"/>
    </row>
    <row r="31" ht="12.75" customHeight="1">
      <c r="A31" s="86" t="inlineStr">
        <is>
          <t>Less</t>
        </is>
      </c>
      <c r="B31" s="86" t="n"/>
      <c r="C31" s="86" t="n"/>
      <c r="D31" s="99" t="n"/>
      <c r="E31" s="78" t="n"/>
      <c r="F31" s="59" t="n"/>
      <c r="G31" s="78" t="n"/>
      <c r="H31" s="78" t="n"/>
      <c r="I31" s="78" t="n"/>
    </row>
    <row r="32" ht="13.5" customHeight="1">
      <c r="A32" s="87" t="inlineStr">
        <is>
          <t>Shifting(扣除移泊时间)</t>
        </is>
      </c>
      <c r="D32" s="99">
        <f>IF(OR(D21="",D20=""),"",(D21-D20)*24)</f>
        <v/>
      </c>
      <c r="E32" s="78" t="inlineStr">
        <is>
          <t>Hours</t>
        </is>
      </c>
      <c r="F32" s="84" t="n"/>
      <c r="G32" s="78" t="n"/>
      <c r="H32" s="78" t="n"/>
      <c r="I32" s="78" t="n"/>
    </row>
    <row r="33" ht="13.5" customHeight="1">
      <c r="A33" s="88" t="inlineStr">
        <is>
          <t>Document onboard（文件上船）</t>
        </is>
      </c>
      <c r="D33" s="99" t="n"/>
      <c r="E33" s="78" t="inlineStr">
        <is>
          <t>Hours</t>
        </is>
      </c>
      <c r="F33" s="59" t="n"/>
      <c r="G33" s="78" t="n"/>
      <c r="H33" s="78" t="n"/>
      <c r="I33" s="78" t="n"/>
    </row>
    <row r="34" ht="13.5" customFormat="1" customHeight="1" s="2">
      <c r="A34" s="45" t="n"/>
      <c r="B34" s="45" t="n"/>
      <c r="C34" s="45" t="n"/>
      <c r="D34" s="100" t="n"/>
      <c r="E34" s="31" t="n"/>
      <c r="F34" s="84" t="n"/>
      <c r="G34" s="78" t="n"/>
      <c r="H34" s="78" t="n"/>
      <c r="I34" s="78" t="n"/>
    </row>
    <row r="35" ht="13.5" customFormat="1" customHeight="1" s="2">
      <c r="A35" s="48" t="inlineStr">
        <is>
          <t>Laytime Allowed:</t>
        </is>
      </c>
      <c r="B35" s="101" t="n"/>
      <c r="C35" s="50" t="inlineStr">
        <is>
          <t>Laytime Used:</t>
        </is>
      </c>
      <c r="D35" s="102">
        <f>IF(D30="","",D30-N(D32)+N(D33))</f>
        <v/>
      </c>
      <c r="E35" s="48" t="inlineStr">
        <is>
          <t>Early Loading Benefit：</t>
        </is>
      </c>
      <c r="F35" s="103" t="n"/>
      <c r="G35" s="31" t="n"/>
      <c r="H35" s="31" t="n"/>
      <c r="I35" s="31" t="n"/>
    </row>
    <row r="36" ht="13.5" customFormat="1" customHeight="1" s="2">
      <c r="A36" s="53" t="inlineStr">
        <is>
          <t>Loading port Dem</t>
        </is>
      </c>
      <c r="B36" s="104">
        <f>IF(OR($F$4="",D35="",B35=""),"",(D35-B35)/24*$F$4)</f>
        <v/>
      </c>
      <c r="C36" s="54" t="inlineStr">
        <is>
          <t>RMB</t>
        </is>
      </c>
      <c r="D36" s="102" t="n"/>
      <c r="E36" s="48" t="n"/>
      <c r="F36" s="102" t="n"/>
      <c r="G36" s="31" t="n"/>
      <c r="H36" s="31" t="n"/>
      <c r="I36" s="31" t="n"/>
    </row>
    <row r="37" ht="13.5" customFormat="1" customHeight="1" s="2" thickBot="1">
      <c r="A37" s="55" t="n"/>
      <c r="B37" s="55" t="n"/>
      <c r="C37" s="55" t="n"/>
      <c r="D37" s="105" t="n"/>
      <c r="E37" s="57" t="n"/>
      <c r="F37" s="106" t="n"/>
      <c r="G37" s="31" t="n"/>
      <c r="H37" s="31" t="n"/>
      <c r="I37" s="31" t="n"/>
    </row>
    <row r="38" ht="15" customFormat="1" customHeight="1" s="2" thickTop="1">
      <c r="A38" s="45" t="n"/>
      <c r="B38" s="45" t="n"/>
      <c r="C38" s="45" t="n"/>
      <c r="D38" s="100" t="n"/>
      <c r="E38" s="31" t="n"/>
      <c r="F38" s="107" t="n"/>
      <c r="G38" s="31" t="n"/>
      <c r="H38" s="31" t="n"/>
      <c r="I38" s="31" t="n"/>
    </row>
    <row r="39" ht="15" customHeight="1">
      <c r="A39" s="29" t="inlineStr">
        <is>
          <t>DISCHARGE</t>
        </is>
      </c>
      <c r="B39" s="83" t="inlineStr">
        <is>
          <t>Port:</t>
        </is>
      </c>
      <c r="C39" s="16" t="n"/>
      <c r="D39" s="83" t="inlineStr">
        <is>
          <t>Berth:</t>
        </is>
      </c>
      <c r="E39" s="16" t="n"/>
      <c r="F39" s="98" t="n"/>
      <c r="G39" s="78" t="n"/>
      <c r="H39" s="78" t="n"/>
      <c r="I39" s="78" t="n"/>
    </row>
    <row r="40" ht="15" customHeight="1">
      <c r="A40" s="83" t="inlineStr">
        <is>
          <t>Quantity</t>
        </is>
      </c>
      <c r="C40" s="90" t="n"/>
      <c r="D40" s="31" t="n"/>
      <c r="E40" s="32" t="inlineStr">
        <is>
          <t>Rate</t>
        </is>
      </c>
      <c r="F40" s="98" t="n"/>
      <c r="G40" s="78" t="n"/>
      <c r="H40" s="78" t="n"/>
      <c r="I40" s="78" t="n"/>
    </row>
    <row r="41" ht="13.5" customHeight="1">
      <c r="A41" s="82" t="inlineStr">
        <is>
          <t>Description</t>
        </is>
      </c>
      <c r="D41" s="79" t="inlineStr">
        <is>
          <t>Date/Time</t>
        </is>
      </c>
      <c r="E41" s="79" t="inlineStr">
        <is>
          <t>Remark</t>
        </is>
      </c>
      <c r="G41" s="78" t="n"/>
      <c r="H41" s="78" t="n"/>
      <c r="I41" s="78" t="n"/>
    </row>
    <row r="42" ht="13.5" customHeight="1">
      <c r="A42" s="78" t="inlineStr">
        <is>
          <t>NOR TENDERED (递交准备就绪通知书）</t>
        </is>
      </c>
      <c r="D42" s="35" t="n"/>
      <c r="E42" s="84" t="n"/>
      <c r="G42" s="78" t="n"/>
      <c r="H42" s="78" t="n"/>
      <c r="I42" s="78" t="n"/>
    </row>
    <row r="43" ht="13.5" customHeight="1">
      <c r="A43" s="78" t="inlineStr">
        <is>
          <t>ANCHOR UP(起锚）</t>
        </is>
      </c>
      <c r="B43" s="78" t="n"/>
      <c r="C43" s="78" t="n"/>
      <c r="D43" s="35" t="n"/>
      <c r="E43" s="77" t="n"/>
      <c r="F43" s="84" t="n"/>
      <c r="G43" s="78" t="n"/>
      <c r="H43" s="78" t="n"/>
      <c r="I43" s="78" t="n"/>
    </row>
    <row r="44" ht="13.5" customHeight="1">
      <c r="A44" s="78" t="inlineStr">
        <is>
          <t>ALL FAST（靠泊）</t>
        </is>
      </c>
      <c r="D44" s="35" t="n"/>
      <c r="E44" s="13" t="n"/>
      <c r="F44" s="59" t="n"/>
      <c r="G44" s="78" t="n"/>
      <c r="H44" s="78" t="n"/>
      <c r="I44" s="78" t="n"/>
    </row>
    <row r="45" ht="13.5" customHeight="1">
      <c r="A45" s="78" t="inlineStr">
        <is>
          <t>HOSE ON(接管)</t>
        </is>
      </c>
      <c r="B45" s="78" t="n"/>
      <c r="C45" s="78" t="n"/>
      <c r="D45" s="35" t="n"/>
      <c r="E45" s="60" t="n"/>
      <c r="F45" s="84" t="n"/>
      <c r="G45" s="78" t="n"/>
      <c r="H45" s="78" t="n"/>
      <c r="I45" s="78" t="n"/>
    </row>
    <row r="46" ht="13.5" customHeight="1">
      <c r="A46" s="78" t="inlineStr">
        <is>
          <t>DISCH COMMENCE (卸货）</t>
        </is>
      </c>
      <c r="B46" s="78" t="n"/>
      <c r="C46" s="78" t="n"/>
      <c r="D46" s="35" t="n"/>
      <c r="E46" s="15" t="n"/>
      <c r="F46" s="59" t="n"/>
      <c r="G46" s="78" t="n"/>
      <c r="H46" s="78" t="n"/>
      <c r="I46" s="78" t="n"/>
    </row>
    <row r="47" ht="13.5" customHeight="1">
      <c r="A47" s="78" t="inlineStr">
        <is>
          <t>DISCH COMPLETE (完货）</t>
        </is>
      </c>
      <c r="B47" s="78" t="n"/>
      <c r="C47" s="78" t="n"/>
      <c r="D47" s="35" t="n"/>
      <c r="E47" s="108" t="n"/>
      <c r="F47" s="84" t="n"/>
      <c r="G47" s="78" t="n"/>
      <c r="H47" s="78" t="n"/>
      <c r="I47" s="78" t="n"/>
    </row>
    <row r="48" ht="13.5" customHeight="1">
      <c r="A48" s="80" t="inlineStr">
        <is>
          <t>HOSE OFF (拆管）</t>
        </is>
      </c>
      <c r="D48" s="35" t="n"/>
      <c r="E48" s="13" t="n"/>
      <c r="F48" s="59" t="n"/>
      <c r="G48" s="78" t="n"/>
      <c r="H48" s="78" t="n"/>
      <c r="I48" s="78" t="n"/>
    </row>
    <row r="49" ht="13.5" customHeight="1">
      <c r="A49" s="80" t="n"/>
      <c r="B49" s="80" t="n"/>
      <c r="C49" s="80" t="n"/>
      <c r="D49" s="35" t="n"/>
      <c r="E49" s="13" t="n"/>
      <c r="F49" s="84" t="n"/>
      <c r="G49" s="78" t="n"/>
      <c r="H49" s="78" t="n"/>
      <c r="I49" s="78" t="n"/>
    </row>
    <row r="50" ht="13.5" customFormat="1" customHeight="1" s="1">
      <c r="A50" s="81" t="inlineStr">
        <is>
          <t>LAYTIME TO COMMENCE（装卸时间起算）</t>
        </is>
      </c>
      <c r="D50" s="35">
        <f>IF(OR(D42="",D46=""),"",MIN(D42+TIME(6,0,0),D46))</f>
        <v/>
      </c>
      <c r="E50" s="75" t="n"/>
      <c r="F50" s="59" t="n"/>
      <c r="G50" s="78" t="n"/>
      <c r="H50" s="78" t="n"/>
      <c r="I50" s="78" t="n"/>
    </row>
    <row r="51" ht="13.5" customHeight="1">
      <c r="A51" s="78" t="inlineStr">
        <is>
          <t>LAYTIME TO CEASE（装卸时间停止）</t>
        </is>
      </c>
      <c r="D51" s="35">
        <f>IF(D48="","",D48)</f>
        <v/>
      </c>
      <c r="E51" s="74" t="n"/>
      <c r="F51" s="84" t="n"/>
      <c r="G51" s="78" t="n"/>
      <c r="H51" s="78" t="n"/>
      <c r="I51" s="78" t="n"/>
    </row>
    <row r="52" ht="13.5" customHeight="1">
      <c r="A52" s="77" t="n"/>
      <c r="D52" s="41" t="n"/>
      <c r="E52" s="78" t="n"/>
      <c r="F52" s="59" t="n"/>
      <c r="G52" s="78" t="n"/>
      <c r="H52" s="78" t="n"/>
      <c r="I52" s="78" t="n"/>
    </row>
    <row r="53" ht="13.5" customHeight="1">
      <c r="A53" s="86" t="inlineStr">
        <is>
          <t xml:space="preserve">Gross Time（总时间） </t>
        </is>
      </c>
      <c r="D53" s="99">
        <f>IF(OR(D51="",D50=""),"",(D51-D50)*24)</f>
        <v/>
      </c>
      <c r="E53" s="78" t="inlineStr">
        <is>
          <t>Hours</t>
        </is>
      </c>
      <c r="F53" s="84" t="n"/>
      <c r="G53" s="78" t="n"/>
      <c r="H53" s="78" t="n"/>
      <c r="I53" s="78" t="n"/>
    </row>
    <row r="54" ht="12.75" customHeight="1">
      <c r="A54" s="86" t="inlineStr">
        <is>
          <t>Less</t>
        </is>
      </c>
      <c r="B54" s="86" t="n"/>
      <c r="C54" s="86" t="n"/>
      <c r="D54" s="99" t="n"/>
      <c r="E54" s="78" t="n"/>
      <c r="F54" s="59" t="n"/>
      <c r="G54" s="78" t="n"/>
      <c r="H54" s="78" t="n"/>
      <c r="I54" s="78" t="n"/>
    </row>
    <row r="55" ht="13.5" customHeight="1">
      <c r="A55" s="87" t="inlineStr">
        <is>
          <t>Shifting(扣除移泊时间)</t>
        </is>
      </c>
      <c r="D55" s="99" t="n"/>
      <c r="E55" s="78" t="inlineStr">
        <is>
          <t>Hours</t>
        </is>
      </c>
      <c r="F55" s="84" t="n"/>
      <c r="G55" s="78" t="n"/>
      <c r="H55" s="78" t="n"/>
      <c r="I55" s="78" t="n"/>
    </row>
    <row r="56" ht="13.5" customHeight="1">
      <c r="A56" s="62" t="inlineStr">
        <is>
          <t>速率差</t>
        </is>
      </c>
      <c r="B56" s="87" t="n"/>
      <c r="C56" s="87" t="n"/>
      <c r="D56" s="99" t="n"/>
      <c r="E56" s="78" t="inlineStr">
        <is>
          <t>Hours</t>
        </is>
      </c>
      <c r="F56" s="59" t="n"/>
      <c r="G56" s="78" t="n"/>
      <c r="H56" s="78" t="n"/>
      <c r="I56" s="78" t="n"/>
    </row>
    <row r="57" ht="13.5" customHeight="1">
      <c r="A57" s="62" t="n"/>
      <c r="B57" s="87" t="n"/>
      <c r="C57" s="87" t="n"/>
      <c r="D57" s="99" t="n"/>
      <c r="E57" s="78" t="n"/>
      <c r="F57" s="84" t="n"/>
      <c r="G57" s="78" t="n"/>
      <c r="H57" s="78" t="n"/>
      <c r="I57" s="78" t="n"/>
    </row>
    <row r="58" ht="13.5" customHeight="1">
      <c r="A58" s="88" t="inlineStr">
        <is>
          <t>Document onboard（文件上船）</t>
        </is>
      </c>
      <c r="D58" s="99" t="n"/>
      <c r="E58" s="78" t="inlineStr">
        <is>
          <t>Hours</t>
        </is>
      </c>
      <c r="F58" s="59" t="n"/>
      <c r="G58" s="78" t="n"/>
      <c r="H58" s="78" t="n"/>
      <c r="I58" s="78" t="n"/>
    </row>
    <row r="59" ht="13.5" customFormat="1" customHeight="1" s="2">
      <c r="A59" s="45" t="n"/>
      <c r="B59" s="45" t="n"/>
      <c r="C59" s="45" t="n"/>
      <c r="D59" s="100" t="n"/>
      <c r="E59" s="31" t="n"/>
      <c r="F59" s="84" t="n"/>
      <c r="G59" s="78" t="n"/>
      <c r="H59" s="78" t="n"/>
      <c r="I59" s="78" t="n"/>
    </row>
    <row r="60" ht="13.5" customFormat="1" customHeight="1" s="2">
      <c r="A60" s="48" t="inlineStr">
        <is>
          <t>Laytime Allowed:</t>
        </is>
      </c>
      <c r="B60" s="101" t="n"/>
      <c r="C60" s="50" t="inlineStr">
        <is>
          <t>Laytime Used:</t>
        </is>
      </c>
      <c r="D60" s="102">
        <f>IF(D53="","",D53-N(D55)-N(D56)-N(D57))</f>
        <v/>
      </c>
      <c r="E60" s="31" t="inlineStr">
        <is>
          <t>Avg M/Tons p/hr</t>
        </is>
      </c>
      <c r="F60" s="78">
        <f>IF(OR(C40="",D47="",D46=""),"",C40/((D47-D46)*24-10.5))</f>
        <v/>
      </c>
      <c r="G60" s="31" t="n"/>
      <c r="H60" s="31" t="n"/>
      <c r="I60" s="31" t="n"/>
    </row>
    <row r="61" ht="13.5" customFormat="1" customHeight="1" s="2">
      <c r="A61" s="63" t="inlineStr">
        <is>
          <t>Disching port Dem</t>
        </is>
      </c>
      <c r="B61" s="109">
        <f>IF(OR($F$4="",D60="",B60=""),"",(D60-B60)/24*$F$4)</f>
        <v/>
      </c>
      <c r="C61" s="64" t="inlineStr">
        <is>
          <t>RMB</t>
        </is>
      </c>
      <c r="D61" s="102" t="n"/>
      <c r="E61" s="48" t="n"/>
      <c r="F61" s="102" t="n"/>
      <c r="G61" s="31" t="n"/>
      <c r="H61" s="31" t="n"/>
      <c r="I61" s="31" t="n"/>
    </row>
    <row r="62" ht="15" customHeight="1" thickBot="1">
      <c r="A62" s="65" t="n"/>
      <c r="B62" s="110" t="n"/>
      <c r="C62" s="65" t="n"/>
      <c r="D62" s="111" t="n"/>
      <c r="E62" s="67" t="n"/>
      <c r="F62" s="67" t="n"/>
      <c r="G62" s="78" t="n"/>
      <c r="H62" s="78" t="n"/>
      <c r="I62" s="78" t="n"/>
    </row>
    <row r="63" ht="20.25" customHeight="1">
      <c r="A63" s="40" t="inlineStr">
        <is>
          <t>TTL DEMURRAGE</t>
        </is>
      </c>
      <c r="B63" s="112">
        <f>IF(AND(B36="",B61=""),"",N(B36)+N(B61))</f>
        <v/>
      </c>
      <c r="C63" s="113" t="inlineStr">
        <is>
          <t>RMB</t>
        </is>
      </c>
      <c r="D63" s="78" t="n"/>
      <c r="E63" s="78" t="n"/>
      <c r="F63" s="78" t="n"/>
      <c r="G63" s="78" t="n"/>
      <c r="H63" s="78" t="n"/>
      <c r="I63" s="78" t="n"/>
    </row>
    <row r="64" ht="15" customHeight="1">
      <c r="A64" s="78" t="n"/>
      <c r="B64" s="78" t="n"/>
      <c r="C64" s="78" t="n"/>
      <c r="D64" s="78" t="n"/>
      <c r="E64" s="78" t="n"/>
      <c r="F64" s="78" t="n"/>
      <c r="G64" s="78" t="n"/>
      <c r="H64" s="78" t="n"/>
      <c r="I64" s="78" t="n"/>
    </row>
    <row r="65" ht="15.75" customHeight="1">
      <c r="A65" s="78" t="n"/>
      <c r="B65" s="78" t="n"/>
      <c r="C65" s="78" t="n"/>
      <c r="D65" s="78" t="n"/>
      <c r="E65" s="9" t="inlineStr">
        <is>
          <t>Doc Date:</t>
        </is>
      </c>
      <c r="F65" s="89" t="n">
        <v>46176</v>
      </c>
      <c r="G65" s="78" t="n"/>
      <c r="H65" s="78" t="n"/>
      <c r="I65" s="78" t="n"/>
    </row>
  </sheetData>
  <mergeCells count="31">
    <mergeCell ref="A25:C25"/>
    <mergeCell ref="A41:C41"/>
    <mergeCell ref="E42:F42"/>
    <mergeCell ref="A18:C18"/>
    <mergeCell ref="A27:C27"/>
    <mergeCell ref="A21:C21"/>
    <mergeCell ref="A55:C55"/>
    <mergeCell ref="A50:C50"/>
    <mergeCell ref="A42:C42"/>
    <mergeCell ref="A33:C33"/>
    <mergeCell ref="A32:C32"/>
    <mergeCell ref="A53:C53"/>
    <mergeCell ref="A29:C29"/>
    <mergeCell ref="B6:D6"/>
    <mergeCell ref="A52:C52"/>
    <mergeCell ref="A28:C28"/>
    <mergeCell ref="B5:D5"/>
    <mergeCell ref="A19:C19"/>
    <mergeCell ref="A44:C44"/>
    <mergeCell ref="A58:C58"/>
    <mergeCell ref="B4:D4"/>
    <mergeCell ref="A30:C30"/>
    <mergeCell ref="B7:D7"/>
    <mergeCell ref="A48:C48"/>
    <mergeCell ref="A51:C51"/>
    <mergeCell ref="B3:D3"/>
    <mergeCell ref="E41:F41"/>
    <mergeCell ref="A1:F1"/>
    <mergeCell ref="A40:B40"/>
    <mergeCell ref="E18:F18"/>
    <mergeCell ref="B2:D2"/>
  </mergeCells>
  <printOptions horizontalCentered="1"/>
  <pageMargins left="0.707638888888889" right="0.707638888888889" top="0.747916666666667" bottom="0.747916666666667" header="0.313888888888889" footer="0.313888888888889"/>
  <pageSetup orientation="portrait" paperSize="9" scale="5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2026-06-17T10:56:41Z</dcterms:modified>
  <cp:lastModifiedBy>PC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2052-11.1.0.8214</vt:lpwstr>
  </property>
</Properties>
</file>