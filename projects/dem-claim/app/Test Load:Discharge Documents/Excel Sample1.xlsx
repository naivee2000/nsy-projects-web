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I:\BaiduSyncdisk\中海壳牌\SPOT\2026\内贸航次\MT HONG SUI V.2609\"/>
    </mc:Choice>
  </mc:AlternateContent>
  <xr:revisionPtr revIDLastSave="0" documentId="13_ncr:1_{E5AB60A9-A4C8-4FC2-B3CF-7834598A5D70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Sheet1!$A$1:$F$66</definedName>
  </definedNames>
  <calcPr calcId="179021"/>
</workbook>
</file>

<file path=xl/calcChain.xml><?xml version="1.0" encoding="utf-8"?>
<calcChain xmlns="http://schemas.openxmlformats.org/spreadsheetml/2006/main">
  <c r="F60" i="1" l="1"/>
  <c r="D32" i="1"/>
  <c r="B13" i="1" l="1"/>
  <c r="D53" i="1" l="1"/>
  <c r="D60" i="1" s="1"/>
  <c r="D30" i="1"/>
  <c r="D35" i="1" l="1"/>
  <c r="C13" i="1" l="1"/>
  <c r="D13" i="1" s="1"/>
  <c r="E13" i="1" s="1"/>
  <c r="B61" i="1"/>
  <c r="B36" i="1"/>
  <c r="B63" i="1" l="1"/>
</calcChain>
</file>

<file path=xl/sharedStrings.xml><?xml version="1.0" encoding="utf-8"?>
<sst xmlns="http://schemas.openxmlformats.org/spreadsheetml/2006/main" count="97" uniqueCount="71">
  <si>
    <t>SPI Marine Consulting (Shanghai) Co.,Ltd</t>
  </si>
  <si>
    <t>Charterer:</t>
  </si>
  <si>
    <t>CNOOC and Shell Petrochemicals Company Ltd</t>
  </si>
  <si>
    <t>Vessel:</t>
  </si>
  <si>
    <t>Charterer Ref:</t>
  </si>
  <si>
    <t>CP date:</t>
  </si>
  <si>
    <t>Owner:</t>
  </si>
  <si>
    <t>Owner Ref:</t>
  </si>
  <si>
    <t>Total Cargo Qtty:</t>
  </si>
  <si>
    <t>Broker:</t>
  </si>
  <si>
    <t>Currency:</t>
  </si>
  <si>
    <t>RMB</t>
  </si>
  <si>
    <t>Original:</t>
  </si>
  <si>
    <t>Laycan Start</t>
  </si>
  <si>
    <t>Laycan End</t>
  </si>
  <si>
    <t>Allowed</t>
  </si>
  <si>
    <t>Used</t>
  </si>
  <si>
    <t>Excess</t>
  </si>
  <si>
    <t>Demurrage</t>
  </si>
  <si>
    <t>Lay Time:</t>
  </si>
  <si>
    <t>LOAD</t>
  </si>
  <si>
    <t>Port:</t>
  </si>
  <si>
    <t>Berth:</t>
  </si>
  <si>
    <t>Description</t>
  </si>
  <si>
    <t>Date/Time</t>
  </si>
  <si>
    <t>Remark</t>
  </si>
  <si>
    <t>Hours</t>
  </si>
  <si>
    <t>Less</t>
  </si>
  <si>
    <t>Laytime Allowed:</t>
  </si>
  <si>
    <t>Laytime Used:</t>
  </si>
  <si>
    <t>Loading port Dem</t>
  </si>
  <si>
    <t>Quantity</t>
  </si>
  <si>
    <t>Rate</t>
  </si>
  <si>
    <t>速率差</t>
  </si>
  <si>
    <t>Avg M/Tons p/hr</t>
  </si>
  <si>
    <t>TTL DEMURRAGE</t>
  </si>
  <si>
    <t>Doc Date:</t>
  </si>
  <si>
    <t>DISCHARGE</t>
    <phoneticPr fontId="6" type="noConversion"/>
  </si>
  <si>
    <t>Donglian</t>
    <phoneticPr fontId="6" type="noConversion"/>
  </si>
  <si>
    <t>DEM CLAIM</t>
    <phoneticPr fontId="6" type="noConversion"/>
  </si>
  <si>
    <t>Demurrage Rate:</t>
    <phoneticPr fontId="6" type="noConversion"/>
  </si>
  <si>
    <r>
      <t>NOR TENDERED (</t>
    </r>
    <r>
      <rPr>
        <sz val="12"/>
        <rFont val="宋体"/>
        <family val="3"/>
        <charset val="134"/>
      </rPr>
      <t>递交准备就绪通知书）</t>
    </r>
  </si>
  <si>
    <r>
      <t>ANCHOR UP(</t>
    </r>
    <r>
      <rPr>
        <sz val="12"/>
        <rFont val="宋体"/>
        <family val="3"/>
        <charset val="134"/>
      </rPr>
      <t>起锚）</t>
    </r>
  </si>
  <si>
    <r>
      <t>ALL FAST</t>
    </r>
    <r>
      <rPr>
        <sz val="12"/>
        <rFont val="宋体"/>
        <family val="3"/>
        <charset val="134"/>
      </rPr>
      <t>（靠泊）</t>
    </r>
    <phoneticPr fontId="6" type="noConversion"/>
  </si>
  <si>
    <r>
      <t>HOSE ON(</t>
    </r>
    <r>
      <rPr>
        <sz val="12"/>
        <rFont val="宋体"/>
        <family val="3"/>
        <charset val="134"/>
      </rPr>
      <t>接管</t>
    </r>
    <r>
      <rPr>
        <sz val="12"/>
        <rFont val="Arial"/>
        <family val="2"/>
      </rPr>
      <t>)</t>
    </r>
  </si>
  <si>
    <r>
      <t>LOAD COMMENCE (</t>
    </r>
    <r>
      <rPr>
        <sz val="12"/>
        <rFont val="宋体"/>
        <family val="3"/>
        <charset val="134"/>
      </rPr>
      <t>装货）</t>
    </r>
    <phoneticPr fontId="6" type="noConversion"/>
  </si>
  <si>
    <r>
      <t>LOAD COMPLETE (</t>
    </r>
    <r>
      <rPr>
        <sz val="12"/>
        <rFont val="宋体"/>
        <family val="3"/>
        <charset val="134"/>
      </rPr>
      <t>完货）</t>
    </r>
  </si>
  <si>
    <r>
      <t>HOSE OFF (</t>
    </r>
    <r>
      <rPr>
        <sz val="12"/>
        <rFont val="宋体"/>
        <family val="3"/>
        <charset val="134"/>
      </rPr>
      <t>拆管）</t>
    </r>
  </si>
  <si>
    <r>
      <t>LAYTIME TO COMMENCE</t>
    </r>
    <r>
      <rPr>
        <sz val="12"/>
        <color theme="3" tint="-0.249977111117893"/>
        <rFont val="宋体"/>
        <family val="3"/>
        <charset val="134"/>
      </rPr>
      <t>（装卸时间起算）</t>
    </r>
  </si>
  <si>
    <r>
      <t>LAYTIME TO CEASE</t>
    </r>
    <r>
      <rPr>
        <sz val="12"/>
        <rFont val="宋体"/>
        <family val="3"/>
        <charset val="134"/>
      </rPr>
      <t>（装卸时间停止）</t>
    </r>
  </si>
  <si>
    <r>
      <t>Gross Time</t>
    </r>
    <r>
      <rPr>
        <sz val="12"/>
        <rFont val="宋体"/>
        <family val="3"/>
        <charset val="134"/>
      </rPr>
      <t>（总时间）</t>
    </r>
    <r>
      <rPr>
        <sz val="12"/>
        <rFont val="Arial"/>
        <family val="2"/>
      </rPr>
      <t xml:space="preserve"> </t>
    </r>
  </si>
  <si>
    <r>
      <t>Shifting(</t>
    </r>
    <r>
      <rPr>
        <sz val="12"/>
        <rFont val="宋体"/>
        <family val="3"/>
        <charset val="134"/>
      </rPr>
      <t>扣除移泊时间</t>
    </r>
    <r>
      <rPr>
        <sz val="12"/>
        <rFont val="Arial"/>
        <family val="2"/>
      </rPr>
      <t>)</t>
    </r>
  </si>
  <si>
    <r>
      <t>Document onboard</t>
    </r>
    <r>
      <rPr>
        <sz val="12"/>
        <rFont val="宋体"/>
        <family val="3"/>
        <charset val="134"/>
      </rPr>
      <t>（文件上船）</t>
    </r>
  </si>
  <si>
    <r>
      <t>Early Loading Benefit</t>
    </r>
    <r>
      <rPr>
        <b/>
        <i/>
        <sz val="12"/>
        <rFont val="宋体"/>
        <family val="3"/>
        <charset val="134"/>
      </rPr>
      <t>：</t>
    </r>
  </si>
  <si>
    <r>
      <t>ANCHOR UP(</t>
    </r>
    <r>
      <rPr>
        <sz val="12"/>
        <rFont val="宋体"/>
        <family val="3"/>
        <charset val="134"/>
      </rPr>
      <t>起锚）</t>
    </r>
    <phoneticPr fontId="6" type="noConversion"/>
  </si>
  <si>
    <r>
      <t>ALL FAST</t>
    </r>
    <r>
      <rPr>
        <sz val="12"/>
        <rFont val="宋体"/>
        <family val="3"/>
        <charset val="134"/>
      </rPr>
      <t>（靠泊）</t>
    </r>
  </si>
  <si>
    <r>
      <t>DISCH COMMENCE (</t>
    </r>
    <r>
      <rPr>
        <sz val="12"/>
        <rFont val="宋体"/>
        <family val="3"/>
        <charset val="134"/>
      </rPr>
      <t>卸货）</t>
    </r>
  </si>
  <si>
    <r>
      <t>DISCH COMPLETE (</t>
    </r>
    <r>
      <rPr>
        <sz val="12"/>
        <rFont val="宋体"/>
        <family val="3"/>
        <charset val="134"/>
      </rPr>
      <t>完货）</t>
    </r>
  </si>
  <si>
    <t>Huizhou</t>
    <phoneticPr fontId="6" type="noConversion"/>
  </si>
  <si>
    <t>Disching port Dem</t>
    <phoneticPr fontId="6" type="noConversion"/>
  </si>
  <si>
    <t>hose off</t>
    <phoneticPr fontId="6" type="noConversion"/>
  </si>
  <si>
    <t>NOR+6个小时</t>
    <phoneticPr fontId="6" type="noConversion"/>
  </si>
  <si>
    <t>BD</t>
    <phoneticPr fontId="6" type="noConversion"/>
  </si>
  <si>
    <t>Berthed</t>
    <phoneticPr fontId="6" type="noConversion"/>
  </si>
  <si>
    <t>HS26066J</t>
    <phoneticPr fontId="6" type="noConversion"/>
  </si>
  <si>
    <t>Tianjin Southwest Maritime Limited</t>
    <phoneticPr fontId="6" type="noConversion"/>
  </si>
  <si>
    <t>Hong Sui</t>
    <phoneticPr fontId="6" type="noConversion"/>
  </si>
  <si>
    <t>Zhenjiang</t>
    <phoneticPr fontId="6" type="noConversion"/>
  </si>
  <si>
    <t>Chimei</t>
    <phoneticPr fontId="6" type="noConversion"/>
  </si>
  <si>
    <t>0415/23因大雾封航,1014/26解封，5/26引航计划取消不能进江</t>
    <phoneticPr fontId="6" type="noConversion"/>
  </si>
  <si>
    <t>Hong Sui V.2609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</si>
</sst>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0_ "/>
    <numFmt numFmtId="177" formatCode="0.000"/>
    <numFmt numFmtId="178" formatCode="[$-409]d\-mmm\-yy;@"/>
    <numFmt numFmtId="179" formatCode="0.00_ "/>
    <numFmt numFmtId="180" formatCode="0.00000"/>
    <numFmt numFmtId="181" formatCode="0.0000"/>
    <numFmt numFmtId="182" formatCode="hh:mm_)"/>
    <numFmt numFmtId="183" formatCode="0.0000000000000_ "/>
  </numFmts>
  <fonts count="27" x14ac:knownFonts="1">
    <font>
      <sz val="11"/>
      <color theme="1"/>
      <name val="宋体"/>
      <charset val="134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  <scheme val="minor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i/>
      <sz val="12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color rgb="FFFF0000"/>
      <name val="Arial"/>
      <family val="2"/>
      <charset val="134"/>
    </font>
    <font>
      <sz val="12"/>
      <color rgb="FFFF0000"/>
      <name val="宋体"/>
      <family val="3"/>
      <charset val="134"/>
    </font>
    <font>
      <sz val="12"/>
      <color theme="3" tint="-0.249977111117893"/>
      <name val="Arial"/>
      <family val="2"/>
    </font>
    <font>
      <sz val="12"/>
      <color theme="3" tint="-0.249977111117893"/>
      <name val="宋体"/>
      <family val="3"/>
      <charset val="134"/>
    </font>
    <font>
      <b/>
      <i/>
      <sz val="12"/>
      <name val="宋体"/>
      <family val="3"/>
      <charset val="134"/>
    </font>
    <font>
      <b/>
      <i/>
      <sz val="12"/>
      <color rgb="FFFF0000"/>
      <name val="Arial"/>
      <family val="2"/>
    </font>
    <font>
      <b/>
      <i/>
      <sz val="12"/>
      <color rgb="FF0070C0"/>
      <name val="Arial"/>
      <family val="2"/>
    </font>
    <font>
      <sz val="12"/>
      <color rgb="FFFF0000"/>
      <name val="Arial"/>
      <family val="2"/>
    </font>
    <font>
      <sz val="12"/>
      <name val="宋体"/>
      <family val="2"/>
      <charset val="134"/>
    </font>
    <font>
      <sz val="12"/>
      <color theme="1"/>
      <name val="宋体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>
      <alignment vertical="center"/>
    </xf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80" fontId="7" fillId="0" borderId="0" xfId="0" applyNumberFormat="1" applyFont="1" applyAlignment="1">
      <alignment horizont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178" fontId="9" fillId="0" borderId="0" xfId="0" applyNumberFormat="1" applyFont="1" applyAlignment="1">
      <alignment horizontal="left"/>
    </xf>
    <xf numFmtId="17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178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83" fontId="9" fillId="0" borderId="0" xfId="0" applyNumberFormat="1" applyFont="1"/>
    <xf numFmtId="0" fontId="12" fillId="0" borderId="0" xfId="0" applyFont="1" applyAlignment="1">
      <alignment horizontal="right"/>
    </xf>
    <xf numFmtId="177" fontId="13" fillId="0" borderId="0" xfId="0" applyNumberFormat="1" applyFont="1" applyAlignment="1">
      <alignment horizontal="right" vertical="center"/>
    </xf>
    <xf numFmtId="179" fontId="13" fillId="0" borderId="0" xfId="0" applyNumberFormat="1" applyFont="1" applyAlignment="1">
      <alignment horizontal="right" vertical="center"/>
    </xf>
    <xf numFmtId="0" fontId="9" fillId="0" borderId="1" xfId="0" applyFont="1" applyBorder="1"/>
    <xf numFmtId="0" fontId="14" fillId="0" borderId="1" xfId="0" applyFont="1" applyBorder="1"/>
    <xf numFmtId="176" fontId="1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17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/>
    <xf numFmtId="0" fontId="15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180" fontId="9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22" fontId="9" fillId="0" borderId="0" xfId="0" applyNumberFormat="1" applyFont="1" applyAlignment="1">
      <alignment horizontal="left"/>
    </xf>
    <xf numFmtId="22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9" fillId="2" borderId="0" xfId="0" applyFont="1" applyFill="1"/>
    <xf numFmtId="20" fontId="9" fillId="0" borderId="0" xfId="0" applyNumberFormat="1" applyFont="1" applyAlignment="1">
      <alignment horizontal="left"/>
    </xf>
    <xf numFmtId="0" fontId="7" fillId="0" borderId="0" xfId="0" applyFont="1"/>
    <xf numFmtId="16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 indent="1"/>
    </xf>
    <xf numFmtId="180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 indent="2"/>
    </xf>
    <xf numFmtId="0" fontId="13" fillId="0" borderId="0" xfId="0" applyFont="1" applyAlignment="1">
      <alignment horizontal="left" indent="1"/>
    </xf>
    <xf numFmtId="180" fontId="8" fillId="0" borderId="0" xfId="0" applyNumberFormat="1" applyFont="1" applyAlignment="1">
      <alignment horizontal="center"/>
    </xf>
    <xf numFmtId="182" fontId="8" fillId="0" borderId="0" xfId="0" applyNumberFormat="1" applyFont="1"/>
    <xf numFmtId="0" fontId="13" fillId="0" borderId="0" xfId="0" applyFont="1"/>
    <xf numFmtId="177" fontId="13" fillId="0" borderId="0" xfId="0" applyNumberFormat="1" applyFont="1" applyAlignment="1">
      <alignment horizontal="left" indent="1"/>
    </xf>
    <xf numFmtId="0" fontId="13" fillId="0" borderId="0" xfId="0" applyFont="1" applyAlignment="1">
      <alignment horizontal="right"/>
    </xf>
    <xf numFmtId="180" fontId="13" fillId="0" borderId="0" xfId="0" applyNumberFormat="1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13" fillId="0" borderId="1" xfId="0" applyFont="1" applyBorder="1" applyAlignment="1">
      <alignment horizontal="left" indent="1"/>
    </xf>
    <xf numFmtId="180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82" fontId="8" fillId="0" borderId="1" xfId="0" applyNumberFormat="1" applyFont="1" applyBorder="1"/>
    <xf numFmtId="0" fontId="17" fillId="0" borderId="0" xfId="0" applyFont="1"/>
    <xf numFmtId="0" fontId="24" fillId="0" borderId="0" xfId="0" applyFont="1" applyAlignment="1">
      <alignment horizontal="right"/>
    </xf>
    <xf numFmtId="179" fontId="23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2"/>
    </xf>
    <xf numFmtId="0" fontId="21" fillId="0" borderId="0" xfId="0" applyFont="1"/>
    <xf numFmtId="0" fontId="21" fillId="0" borderId="0" xfId="0" applyFont="1" applyAlignment="1">
      <alignment horizontal="left"/>
    </xf>
    <xf numFmtId="0" fontId="11" fillId="0" borderId="2" xfId="0" applyFont="1" applyBorder="1" applyAlignment="1">
      <alignment horizontal="left" indent="1"/>
    </xf>
    <xf numFmtId="181" fontId="9" fillId="0" borderId="2" xfId="0" applyNumberFormat="1" applyFont="1" applyBorder="1" applyAlignment="1">
      <alignment horizontal="center"/>
    </xf>
    <xf numFmtId="0" fontId="9" fillId="0" borderId="2" xfId="0" applyFont="1" applyBorder="1"/>
    <xf numFmtId="179" fontId="7" fillId="0" borderId="0" xfId="0" applyNumberFormat="1" applyFont="1"/>
    <xf numFmtId="43" fontId="22" fillId="0" borderId="0" xfId="1" applyFont="1" applyAlignment="1"/>
    <xf numFmtId="43" fontId="21" fillId="0" borderId="0" xfId="1" applyFont="1" applyAlignment="1"/>
    <xf numFmtId="43" fontId="11" fillId="0" borderId="2" xfId="1" applyFont="1" applyBorder="1" applyAlignment="1">
      <alignment horizontal="left" indent="1"/>
    </xf>
    <xf numFmtId="43" fontId="7" fillId="0" borderId="0" xfId="1" applyFont="1" applyAlignment="1"/>
    <xf numFmtId="58" fontId="9" fillId="0" borderId="0" xfId="0" applyNumberFormat="1" applyFont="1"/>
    <xf numFmtId="0" fontId="24" fillId="0" borderId="0" xfId="0" applyFont="1"/>
    <xf numFmtId="0" fontId="25" fillId="0" borderId="0" xfId="0" applyFont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center"/>
    </xf>
    <xf numFmtId="0" fontId="9" fillId="2" borderId="0" xfId="0" applyFont="1" applyFill="1"/>
    <xf numFmtId="0" fontId="18" fillId="0" borderId="0" xfId="0" applyFont="1"/>
    <xf numFmtId="0" fontId="8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colors>
    <mruColors>
      <color rgb="FFFF0000"/>
      <color rgb="FF161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69"/>
  <sheetViews>
    <sheetView tabSelected="1" zoomScale="85" zoomScaleNormal="85" workbookViewId="0">
      <selection activeCell="F4" sqref="F4"/>
    </sheetView>
  </sheetViews>
  <sheetFormatPr defaultColWidth="9" defaultRowHeight="14.25" x14ac:dyDescent="0.2"/>
  <cols>
    <col min="1" max="1" width="17" style="3" customWidth="1"/>
    <col min="2" max="2" width="17.75" style="3" customWidth="1"/>
    <col min="3" max="3" width="12.125" style="3" customWidth="1"/>
    <col min="4" max="4" width="22.75" style="4" customWidth="1"/>
    <col min="5" max="5" width="21.5" style="3" customWidth="1"/>
    <col min="6" max="6" width="27.5" style="3" customWidth="1"/>
    <col min="7" max="8" width="9" style="3"/>
    <col min="9" max="9" width="19.75" style="3" customWidth="1"/>
    <col min="10" max="256" width="9" style="3"/>
    <col min="257" max="257" width="8.125" style="3" customWidth="1"/>
    <col min="258" max="258" width="12.625" style="3" customWidth="1"/>
    <col min="259" max="259" width="11.125" style="3" customWidth="1"/>
    <col min="260" max="261" width="16.125" style="3" customWidth="1"/>
    <col min="262" max="262" width="17.625" style="3" customWidth="1"/>
    <col min="263" max="512" width="9" style="3"/>
    <col min="513" max="513" width="8.125" style="3" customWidth="1"/>
    <col min="514" max="514" width="12.625" style="3" customWidth="1"/>
    <col min="515" max="515" width="11.125" style="3" customWidth="1"/>
    <col min="516" max="517" width="16.125" style="3" customWidth="1"/>
    <col min="518" max="518" width="17.625" style="3" customWidth="1"/>
    <col min="519" max="768" width="9" style="3"/>
    <col min="769" max="769" width="8.125" style="3" customWidth="1"/>
    <col min="770" max="770" width="12.625" style="3" customWidth="1"/>
    <col min="771" max="771" width="11.125" style="3" customWidth="1"/>
    <col min="772" max="773" width="16.125" style="3" customWidth="1"/>
    <col min="774" max="774" width="17.625" style="3" customWidth="1"/>
    <col min="775" max="1024" width="9" style="3"/>
    <col min="1025" max="1025" width="8.125" style="3" customWidth="1"/>
    <col min="1026" max="1026" width="12.625" style="3" customWidth="1"/>
    <col min="1027" max="1027" width="11.125" style="3" customWidth="1"/>
    <col min="1028" max="1029" width="16.125" style="3" customWidth="1"/>
    <col min="1030" max="1030" width="17.625" style="3" customWidth="1"/>
    <col min="1031" max="1280" width="9" style="3"/>
    <col min="1281" max="1281" width="8.125" style="3" customWidth="1"/>
    <col min="1282" max="1282" width="12.625" style="3" customWidth="1"/>
    <col min="1283" max="1283" width="11.125" style="3" customWidth="1"/>
    <col min="1284" max="1285" width="16.125" style="3" customWidth="1"/>
    <col min="1286" max="1286" width="17.625" style="3" customWidth="1"/>
    <col min="1287" max="1536" width="9" style="3"/>
    <col min="1537" max="1537" width="8.125" style="3" customWidth="1"/>
    <col min="1538" max="1538" width="12.625" style="3" customWidth="1"/>
    <col min="1539" max="1539" width="11.125" style="3" customWidth="1"/>
    <col min="1540" max="1541" width="16.125" style="3" customWidth="1"/>
    <col min="1542" max="1542" width="17.625" style="3" customWidth="1"/>
    <col min="1543" max="1792" width="9" style="3"/>
    <col min="1793" max="1793" width="8.125" style="3" customWidth="1"/>
    <col min="1794" max="1794" width="12.625" style="3" customWidth="1"/>
    <col min="1795" max="1795" width="11.125" style="3" customWidth="1"/>
    <col min="1796" max="1797" width="16.125" style="3" customWidth="1"/>
    <col min="1798" max="1798" width="17.625" style="3" customWidth="1"/>
    <col min="1799" max="2048" width="9" style="3"/>
    <col min="2049" max="2049" width="8.125" style="3" customWidth="1"/>
    <col min="2050" max="2050" width="12.625" style="3" customWidth="1"/>
    <col min="2051" max="2051" width="11.125" style="3" customWidth="1"/>
    <col min="2052" max="2053" width="16.125" style="3" customWidth="1"/>
    <col min="2054" max="2054" width="17.625" style="3" customWidth="1"/>
    <col min="2055" max="2304" width="9" style="3"/>
    <col min="2305" max="2305" width="8.125" style="3" customWidth="1"/>
    <col min="2306" max="2306" width="12.625" style="3" customWidth="1"/>
    <col min="2307" max="2307" width="11.125" style="3" customWidth="1"/>
    <col min="2308" max="2309" width="16.125" style="3" customWidth="1"/>
    <col min="2310" max="2310" width="17.625" style="3" customWidth="1"/>
    <col min="2311" max="2560" width="9" style="3"/>
    <col min="2561" max="2561" width="8.125" style="3" customWidth="1"/>
    <col min="2562" max="2562" width="12.625" style="3" customWidth="1"/>
    <col min="2563" max="2563" width="11.125" style="3" customWidth="1"/>
    <col min="2564" max="2565" width="16.125" style="3" customWidth="1"/>
    <col min="2566" max="2566" width="17.625" style="3" customWidth="1"/>
    <col min="2567" max="2816" width="9" style="3"/>
    <col min="2817" max="2817" width="8.125" style="3" customWidth="1"/>
    <col min="2818" max="2818" width="12.625" style="3" customWidth="1"/>
    <col min="2819" max="2819" width="11.125" style="3" customWidth="1"/>
    <col min="2820" max="2821" width="16.125" style="3" customWidth="1"/>
    <col min="2822" max="2822" width="17.625" style="3" customWidth="1"/>
    <col min="2823" max="3072" width="9" style="3"/>
    <col min="3073" max="3073" width="8.125" style="3" customWidth="1"/>
    <col min="3074" max="3074" width="12.625" style="3" customWidth="1"/>
    <col min="3075" max="3075" width="11.125" style="3" customWidth="1"/>
    <col min="3076" max="3077" width="16.125" style="3" customWidth="1"/>
    <col min="3078" max="3078" width="17.625" style="3" customWidth="1"/>
    <col min="3079" max="3328" width="9" style="3"/>
    <col min="3329" max="3329" width="8.125" style="3" customWidth="1"/>
    <col min="3330" max="3330" width="12.625" style="3" customWidth="1"/>
    <col min="3331" max="3331" width="11.125" style="3" customWidth="1"/>
    <col min="3332" max="3333" width="16.125" style="3" customWidth="1"/>
    <col min="3334" max="3334" width="17.625" style="3" customWidth="1"/>
    <col min="3335" max="3584" width="9" style="3"/>
    <col min="3585" max="3585" width="8.125" style="3" customWidth="1"/>
    <col min="3586" max="3586" width="12.625" style="3" customWidth="1"/>
    <col min="3587" max="3587" width="11.125" style="3" customWidth="1"/>
    <col min="3588" max="3589" width="16.125" style="3" customWidth="1"/>
    <col min="3590" max="3590" width="17.625" style="3" customWidth="1"/>
    <col min="3591" max="3840" width="9" style="3"/>
    <col min="3841" max="3841" width="8.125" style="3" customWidth="1"/>
    <col min="3842" max="3842" width="12.625" style="3" customWidth="1"/>
    <col min="3843" max="3843" width="11.125" style="3" customWidth="1"/>
    <col min="3844" max="3845" width="16.125" style="3" customWidth="1"/>
    <col min="3846" max="3846" width="17.625" style="3" customWidth="1"/>
    <col min="3847" max="4096" width="9" style="3"/>
    <col min="4097" max="4097" width="8.125" style="3" customWidth="1"/>
    <col min="4098" max="4098" width="12.625" style="3" customWidth="1"/>
    <col min="4099" max="4099" width="11.125" style="3" customWidth="1"/>
    <col min="4100" max="4101" width="16.125" style="3" customWidth="1"/>
    <col min="4102" max="4102" width="17.625" style="3" customWidth="1"/>
    <col min="4103" max="4352" width="9" style="3"/>
    <col min="4353" max="4353" width="8.125" style="3" customWidth="1"/>
    <col min="4354" max="4354" width="12.625" style="3" customWidth="1"/>
    <col min="4355" max="4355" width="11.125" style="3" customWidth="1"/>
    <col min="4356" max="4357" width="16.125" style="3" customWidth="1"/>
    <col min="4358" max="4358" width="17.625" style="3" customWidth="1"/>
    <col min="4359" max="4608" width="9" style="3"/>
    <col min="4609" max="4609" width="8.125" style="3" customWidth="1"/>
    <col min="4610" max="4610" width="12.625" style="3" customWidth="1"/>
    <col min="4611" max="4611" width="11.125" style="3" customWidth="1"/>
    <col min="4612" max="4613" width="16.125" style="3" customWidth="1"/>
    <col min="4614" max="4614" width="17.625" style="3" customWidth="1"/>
    <col min="4615" max="4864" width="9" style="3"/>
    <col min="4865" max="4865" width="8.125" style="3" customWidth="1"/>
    <col min="4866" max="4866" width="12.625" style="3" customWidth="1"/>
    <col min="4867" max="4867" width="11.125" style="3" customWidth="1"/>
    <col min="4868" max="4869" width="16.125" style="3" customWidth="1"/>
    <col min="4870" max="4870" width="17.625" style="3" customWidth="1"/>
    <col min="4871" max="5120" width="9" style="3"/>
    <col min="5121" max="5121" width="8.125" style="3" customWidth="1"/>
    <col min="5122" max="5122" width="12.625" style="3" customWidth="1"/>
    <col min="5123" max="5123" width="11.125" style="3" customWidth="1"/>
    <col min="5124" max="5125" width="16.125" style="3" customWidth="1"/>
    <col min="5126" max="5126" width="17.625" style="3" customWidth="1"/>
    <col min="5127" max="5376" width="9" style="3"/>
    <col min="5377" max="5377" width="8.125" style="3" customWidth="1"/>
    <col min="5378" max="5378" width="12.625" style="3" customWidth="1"/>
    <col min="5379" max="5379" width="11.125" style="3" customWidth="1"/>
    <col min="5380" max="5381" width="16.125" style="3" customWidth="1"/>
    <col min="5382" max="5382" width="17.625" style="3" customWidth="1"/>
    <col min="5383" max="5632" width="9" style="3"/>
    <col min="5633" max="5633" width="8.125" style="3" customWidth="1"/>
    <col min="5634" max="5634" width="12.625" style="3" customWidth="1"/>
    <col min="5635" max="5635" width="11.125" style="3" customWidth="1"/>
    <col min="5636" max="5637" width="16.125" style="3" customWidth="1"/>
    <col min="5638" max="5638" width="17.625" style="3" customWidth="1"/>
    <col min="5639" max="5888" width="9" style="3"/>
    <col min="5889" max="5889" width="8.125" style="3" customWidth="1"/>
    <col min="5890" max="5890" width="12.625" style="3" customWidth="1"/>
    <col min="5891" max="5891" width="11.125" style="3" customWidth="1"/>
    <col min="5892" max="5893" width="16.125" style="3" customWidth="1"/>
    <col min="5894" max="5894" width="17.625" style="3" customWidth="1"/>
    <col min="5895" max="6144" width="9" style="3"/>
    <col min="6145" max="6145" width="8.125" style="3" customWidth="1"/>
    <col min="6146" max="6146" width="12.625" style="3" customWidth="1"/>
    <col min="6147" max="6147" width="11.125" style="3" customWidth="1"/>
    <col min="6148" max="6149" width="16.125" style="3" customWidth="1"/>
    <col min="6150" max="6150" width="17.625" style="3" customWidth="1"/>
    <col min="6151" max="6400" width="9" style="3"/>
    <col min="6401" max="6401" width="8.125" style="3" customWidth="1"/>
    <col min="6402" max="6402" width="12.625" style="3" customWidth="1"/>
    <col min="6403" max="6403" width="11.125" style="3" customWidth="1"/>
    <col min="6404" max="6405" width="16.125" style="3" customWidth="1"/>
    <col min="6406" max="6406" width="17.625" style="3" customWidth="1"/>
    <col min="6407" max="6656" width="9" style="3"/>
    <col min="6657" max="6657" width="8.125" style="3" customWidth="1"/>
    <col min="6658" max="6658" width="12.625" style="3" customWidth="1"/>
    <col min="6659" max="6659" width="11.125" style="3" customWidth="1"/>
    <col min="6660" max="6661" width="16.125" style="3" customWidth="1"/>
    <col min="6662" max="6662" width="17.625" style="3" customWidth="1"/>
    <col min="6663" max="6912" width="9" style="3"/>
    <col min="6913" max="6913" width="8.125" style="3" customWidth="1"/>
    <col min="6914" max="6914" width="12.625" style="3" customWidth="1"/>
    <col min="6915" max="6915" width="11.125" style="3" customWidth="1"/>
    <col min="6916" max="6917" width="16.125" style="3" customWidth="1"/>
    <col min="6918" max="6918" width="17.625" style="3" customWidth="1"/>
    <col min="6919" max="7168" width="9" style="3"/>
    <col min="7169" max="7169" width="8.125" style="3" customWidth="1"/>
    <col min="7170" max="7170" width="12.625" style="3" customWidth="1"/>
    <col min="7171" max="7171" width="11.125" style="3" customWidth="1"/>
    <col min="7172" max="7173" width="16.125" style="3" customWidth="1"/>
    <col min="7174" max="7174" width="17.625" style="3" customWidth="1"/>
    <col min="7175" max="7424" width="9" style="3"/>
    <col min="7425" max="7425" width="8.125" style="3" customWidth="1"/>
    <col min="7426" max="7426" width="12.625" style="3" customWidth="1"/>
    <col min="7427" max="7427" width="11.125" style="3" customWidth="1"/>
    <col min="7428" max="7429" width="16.125" style="3" customWidth="1"/>
    <col min="7430" max="7430" width="17.625" style="3" customWidth="1"/>
    <col min="7431" max="7680" width="9" style="3"/>
    <col min="7681" max="7681" width="8.125" style="3" customWidth="1"/>
    <col min="7682" max="7682" width="12.625" style="3" customWidth="1"/>
    <col min="7683" max="7683" width="11.125" style="3" customWidth="1"/>
    <col min="7684" max="7685" width="16.125" style="3" customWidth="1"/>
    <col min="7686" max="7686" width="17.625" style="3" customWidth="1"/>
    <col min="7687" max="7936" width="9" style="3"/>
    <col min="7937" max="7937" width="8.125" style="3" customWidth="1"/>
    <col min="7938" max="7938" width="12.625" style="3" customWidth="1"/>
    <col min="7939" max="7939" width="11.125" style="3" customWidth="1"/>
    <col min="7940" max="7941" width="16.125" style="3" customWidth="1"/>
    <col min="7942" max="7942" width="17.625" style="3" customWidth="1"/>
    <col min="7943" max="8192" width="9" style="3"/>
    <col min="8193" max="8193" width="8.125" style="3" customWidth="1"/>
    <col min="8194" max="8194" width="12.625" style="3" customWidth="1"/>
    <col min="8195" max="8195" width="11.125" style="3" customWidth="1"/>
    <col min="8196" max="8197" width="16.125" style="3" customWidth="1"/>
    <col min="8198" max="8198" width="17.625" style="3" customWidth="1"/>
    <col min="8199" max="8448" width="9" style="3"/>
    <col min="8449" max="8449" width="8.125" style="3" customWidth="1"/>
    <col min="8450" max="8450" width="12.625" style="3" customWidth="1"/>
    <col min="8451" max="8451" width="11.125" style="3" customWidth="1"/>
    <col min="8452" max="8453" width="16.125" style="3" customWidth="1"/>
    <col min="8454" max="8454" width="17.625" style="3" customWidth="1"/>
    <col min="8455" max="8704" width="9" style="3"/>
    <col min="8705" max="8705" width="8.125" style="3" customWidth="1"/>
    <col min="8706" max="8706" width="12.625" style="3" customWidth="1"/>
    <col min="8707" max="8707" width="11.125" style="3" customWidth="1"/>
    <col min="8708" max="8709" width="16.125" style="3" customWidth="1"/>
    <col min="8710" max="8710" width="17.625" style="3" customWidth="1"/>
    <col min="8711" max="8960" width="9" style="3"/>
    <col min="8961" max="8961" width="8.125" style="3" customWidth="1"/>
    <col min="8962" max="8962" width="12.625" style="3" customWidth="1"/>
    <col min="8963" max="8963" width="11.125" style="3" customWidth="1"/>
    <col min="8964" max="8965" width="16.125" style="3" customWidth="1"/>
    <col min="8966" max="8966" width="17.625" style="3" customWidth="1"/>
    <col min="8967" max="9216" width="9" style="3"/>
    <col min="9217" max="9217" width="8.125" style="3" customWidth="1"/>
    <col min="9218" max="9218" width="12.625" style="3" customWidth="1"/>
    <col min="9219" max="9219" width="11.125" style="3" customWidth="1"/>
    <col min="9220" max="9221" width="16.125" style="3" customWidth="1"/>
    <col min="9222" max="9222" width="17.625" style="3" customWidth="1"/>
    <col min="9223" max="9472" width="9" style="3"/>
    <col min="9473" max="9473" width="8.125" style="3" customWidth="1"/>
    <col min="9474" max="9474" width="12.625" style="3" customWidth="1"/>
    <col min="9475" max="9475" width="11.125" style="3" customWidth="1"/>
    <col min="9476" max="9477" width="16.125" style="3" customWidth="1"/>
    <col min="9478" max="9478" width="17.625" style="3" customWidth="1"/>
    <col min="9479" max="9728" width="9" style="3"/>
    <col min="9729" max="9729" width="8.125" style="3" customWidth="1"/>
    <col min="9730" max="9730" width="12.625" style="3" customWidth="1"/>
    <col min="9731" max="9731" width="11.125" style="3" customWidth="1"/>
    <col min="9732" max="9733" width="16.125" style="3" customWidth="1"/>
    <col min="9734" max="9734" width="17.625" style="3" customWidth="1"/>
    <col min="9735" max="9984" width="9" style="3"/>
    <col min="9985" max="9985" width="8.125" style="3" customWidth="1"/>
    <col min="9986" max="9986" width="12.625" style="3" customWidth="1"/>
    <col min="9987" max="9987" width="11.125" style="3" customWidth="1"/>
    <col min="9988" max="9989" width="16.125" style="3" customWidth="1"/>
    <col min="9990" max="9990" width="17.625" style="3" customWidth="1"/>
    <col min="9991" max="10240" width="9" style="3"/>
    <col min="10241" max="10241" width="8.125" style="3" customWidth="1"/>
    <col min="10242" max="10242" width="12.625" style="3" customWidth="1"/>
    <col min="10243" max="10243" width="11.125" style="3" customWidth="1"/>
    <col min="10244" max="10245" width="16.125" style="3" customWidth="1"/>
    <col min="10246" max="10246" width="17.625" style="3" customWidth="1"/>
    <col min="10247" max="10496" width="9" style="3"/>
    <col min="10497" max="10497" width="8.125" style="3" customWidth="1"/>
    <col min="10498" max="10498" width="12.625" style="3" customWidth="1"/>
    <col min="10499" max="10499" width="11.125" style="3" customWidth="1"/>
    <col min="10500" max="10501" width="16.125" style="3" customWidth="1"/>
    <col min="10502" max="10502" width="17.625" style="3" customWidth="1"/>
    <col min="10503" max="10752" width="9" style="3"/>
    <col min="10753" max="10753" width="8.125" style="3" customWidth="1"/>
    <col min="10754" max="10754" width="12.625" style="3" customWidth="1"/>
    <col min="10755" max="10755" width="11.125" style="3" customWidth="1"/>
    <col min="10756" max="10757" width="16.125" style="3" customWidth="1"/>
    <col min="10758" max="10758" width="17.625" style="3" customWidth="1"/>
    <col min="10759" max="11008" width="9" style="3"/>
    <col min="11009" max="11009" width="8.125" style="3" customWidth="1"/>
    <col min="11010" max="11010" width="12.625" style="3" customWidth="1"/>
    <col min="11011" max="11011" width="11.125" style="3" customWidth="1"/>
    <col min="11012" max="11013" width="16.125" style="3" customWidth="1"/>
    <col min="11014" max="11014" width="17.625" style="3" customWidth="1"/>
    <col min="11015" max="11264" width="9" style="3"/>
    <col min="11265" max="11265" width="8.125" style="3" customWidth="1"/>
    <col min="11266" max="11266" width="12.625" style="3" customWidth="1"/>
    <col min="11267" max="11267" width="11.125" style="3" customWidth="1"/>
    <col min="11268" max="11269" width="16.125" style="3" customWidth="1"/>
    <col min="11270" max="11270" width="17.625" style="3" customWidth="1"/>
    <col min="11271" max="11520" width="9" style="3"/>
    <col min="11521" max="11521" width="8.125" style="3" customWidth="1"/>
    <col min="11522" max="11522" width="12.625" style="3" customWidth="1"/>
    <col min="11523" max="11523" width="11.125" style="3" customWidth="1"/>
    <col min="11524" max="11525" width="16.125" style="3" customWidth="1"/>
    <col min="11526" max="11526" width="17.625" style="3" customWidth="1"/>
    <col min="11527" max="11776" width="9" style="3"/>
    <col min="11777" max="11777" width="8.125" style="3" customWidth="1"/>
    <col min="11778" max="11778" width="12.625" style="3" customWidth="1"/>
    <col min="11779" max="11779" width="11.125" style="3" customWidth="1"/>
    <col min="11780" max="11781" width="16.125" style="3" customWidth="1"/>
    <col min="11782" max="11782" width="17.625" style="3" customWidth="1"/>
    <col min="11783" max="12032" width="9" style="3"/>
    <col min="12033" max="12033" width="8.125" style="3" customWidth="1"/>
    <col min="12034" max="12034" width="12.625" style="3" customWidth="1"/>
    <col min="12035" max="12035" width="11.125" style="3" customWidth="1"/>
    <col min="12036" max="12037" width="16.125" style="3" customWidth="1"/>
    <col min="12038" max="12038" width="17.625" style="3" customWidth="1"/>
    <col min="12039" max="12288" width="9" style="3"/>
    <col min="12289" max="12289" width="8.125" style="3" customWidth="1"/>
    <col min="12290" max="12290" width="12.625" style="3" customWidth="1"/>
    <col min="12291" max="12291" width="11.125" style="3" customWidth="1"/>
    <col min="12292" max="12293" width="16.125" style="3" customWidth="1"/>
    <col min="12294" max="12294" width="17.625" style="3" customWidth="1"/>
    <col min="12295" max="12544" width="9" style="3"/>
    <col min="12545" max="12545" width="8.125" style="3" customWidth="1"/>
    <col min="12546" max="12546" width="12.625" style="3" customWidth="1"/>
    <col min="12547" max="12547" width="11.125" style="3" customWidth="1"/>
    <col min="12548" max="12549" width="16.125" style="3" customWidth="1"/>
    <col min="12550" max="12550" width="17.625" style="3" customWidth="1"/>
    <col min="12551" max="12800" width="9" style="3"/>
    <col min="12801" max="12801" width="8.125" style="3" customWidth="1"/>
    <col min="12802" max="12802" width="12.625" style="3" customWidth="1"/>
    <col min="12803" max="12803" width="11.125" style="3" customWidth="1"/>
    <col min="12804" max="12805" width="16.125" style="3" customWidth="1"/>
    <col min="12806" max="12806" width="17.625" style="3" customWidth="1"/>
    <col min="12807" max="13056" width="9" style="3"/>
    <col min="13057" max="13057" width="8.125" style="3" customWidth="1"/>
    <col min="13058" max="13058" width="12.625" style="3" customWidth="1"/>
    <col min="13059" max="13059" width="11.125" style="3" customWidth="1"/>
    <col min="13060" max="13061" width="16.125" style="3" customWidth="1"/>
    <col min="13062" max="13062" width="17.625" style="3" customWidth="1"/>
    <col min="13063" max="13312" width="9" style="3"/>
    <col min="13313" max="13313" width="8.125" style="3" customWidth="1"/>
    <col min="13314" max="13314" width="12.625" style="3" customWidth="1"/>
    <col min="13315" max="13315" width="11.125" style="3" customWidth="1"/>
    <col min="13316" max="13317" width="16.125" style="3" customWidth="1"/>
    <col min="13318" max="13318" width="17.625" style="3" customWidth="1"/>
    <col min="13319" max="13568" width="9" style="3"/>
    <col min="13569" max="13569" width="8.125" style="3" customWidth="1"/>
    <col min="13570" max="13570" width="12.625" style="3" customWidth="1"/>
    <col min="13571" max="13571" width="11.125" style="3" customWidth="1"/>
    <col min="13572" max="13573" width="16.125" style="3" customWidth="1"/>
    <col min="13574" max="13574" width="17.625" style="3" customWidth="1"/>
    <col min="13575" max="13824" width="9" style="3"/>
    <col min="13825" max="13825" width="8.125" style="3" customWidth="1"/>
    <col min="13826" max="13826" width="12.625" style="3" customWidth="1"/>
    <col min="13827" max="13827" width="11.125" style="3" customWidth="1"/>
    <col min="13828" max="13829" width="16.125" style="3" customWidth="1"/>
    <col min="13830" max="13830" width="17.625" style="3" customWidth="1"/>
    <col min="13831" max="14080" width="9" style="3"/>
    <col min="14081" max="14081" width="8.125" style="3" customWidth="1"/>
    <col min="14082" max="14082" width="12.625" style="3" customWidth="1"/>
    <col min="14083" max="14083" width="11.125" style="3" customWidth="1"/>
    <col min="14084" max="14085" width="16.125" style="3" customWidth="1"/>
    <col min="14086" max="14086" width="17.625" style="3" customWidth="1"/>
    <col min="14087" max="14336" width="9" style="3"/>
    <col min="14337" max="14337" width="8.125" style="3" customWidth="1"/>
    <col min="14338" max="14338" width="12.625" style="3" customWidth="1"/>
    <col min="14339" max="14339" width="11.125" style="3" customWidth="1"/>
    <col min="14340" max="14341" width="16.125" style="3" customWidth="1"/>
    <col min="14342" max="14342" width="17.625" style="3" customWidth="1"/>
    <col min="14343" max="14592" width="9" style="3"/>
    <col min="14593" max="14593" width="8.125" style="3" customWidth="1"/>
    <col min="14594" max="14594" width="12.625" style="3" customWidth="1"/>
    <col min="14595" max="14595" width="11.125" style="3" customWidth="1"/>
    <col min="14596" max="14597" width="16.125" style="3" customWidth="1"/>
    <col min="14598" max="14598" width="17.625" style="3" customWidth="1"/>
    <col min="14599" max="14848" width="9" style="3"/>
    <col min="14849" max="14849" width="8.125" style="3" customWidth="1"/>
    <col min="14850" max="14850" width="12.625" style="3" customWidth="1"/>
    <col min="14851" max="14851" width="11.125" style="3" customWidth="1"/>
    <col min="14852" max="14853" width="16.125" style="3" customWidth="1"/>
    <col min="14854" max="14854" width="17.625" style="3" customWidth="1"/>
    <col min="14855" max="15104" width="9" style="3"/>
    <col min="15105" max="15105" width="8.125" style="3" customWidth="1"/>
    <col min="15106" max="15106" width="12.625" style="3" customWidth="1"/>
    <col min="15107" max="15107" width="11.125" style="3" customWidth="1"/>
    <col min="15108" max="15109" width="16.125" style="3" customWidth="1"/>
    <col min="15110" max="15110" width="17.625" style="3" customWidth="1"/>
    <col min="15111" max="15360" width="9" style="3"/>
    <col min="15361" max="15361" width="8.125" style="3" customWidth="1"/>
    <col min="15362" max="15362" width="12.625" style="3" customWidth="1"/>
    <col min="15363" max="15363" width="11.125" style="3" customWidth="1"/>
    <col min="15364" max="15365" width="16.125" style="3" customWidth="1"/>
    <col min="15366" max="15366" width="17.625" style="3" customWidth="1"/>
    <col min="15367" max="15616" width="9" style="3"/>
    <col min="15617" max="15617" width="8.125" style="3" customWidth="1"/>
    <col min="15618" max="15618" width="12.625" style="3" customWidth="1"/>
    <col min="15619" max="15619" width="11.125" style="3" customWidth="1"/>
    <col min="15620" max="15621" width="16.125" style="3" customWidth="1"/>
    <col min="15622" max="15622" width="17.625" style="3" customWidth="1"/>
    <col min="15623" max="15872" width="9" style="3"/>
    <col min="15873" max="15873" width="8.125" style="3" customWidth="1"/>
    <col min="15874" max="15874" width="12.625" style="3" customWidth="1"/>
    <col min="15875" max="15875" width="11.125" style="3" customWidth="1"/>
    <col min="15876" max="15877" width="16.125" style="3" customWidth="1"/>
    <col min="15878" max="15878" width="17.625" style="3" customWidth="1"/>
    <col min="15879" max="16128" width="9" style="3"/>
    <col min="16129" max="16129" width="8.125" style="3" customWidth="1"/>
    <col min="16130" max="16130" width="12.625" style="3" customWidth="1"/>
    <col min="16131" max="16131" width="11.125" style="3" customWidth="1"/>
    <col min="16132" max="16133" width="16.125" style="3" customWidth="1"/>
    <col min="16134" max="16134" width="17.625" style="3" customWidth="1"/>
    <col min="16135" max="16384" width="9" style="3"/>
  </cols>
  <sheetData>
    <row r="1" spans="1:9" ht="26.25" customHeight="1" x14ac:dyDescent="0.2">
      <c r="A1" s="76" t="s">
        <v>39</v>
      </c>
      <c r="B1" s="76"/>
      <c r="C1" s="76"/>
      <c r="D1" s="76"/>
      <c r="E1" s="76"/>
      <c r="F1" s="76"/>
    </row>
    <row r="2" spans="1:9" ht="18" customHeight="1" x14ac:dyDescent="0.2">
      <c r="A2" s="6" t="s">
        <v>1</v>
      </c>
      <c r="B2" s="77" t="s">
        <v>2</v>
      </c>
      <c r="C2" s="77"/>
      <c r="D2" s="77"/>
      <c r="E2" s="6" t="s">
        <v>3</v>
      </c>
      <c r="F2" s="8" t="s">
        <v>66</v>
      </c>
      <c r="G2" s="8"/>
      <c r="H2" s="8"/>
      <c r="I2" s="8"/>
    </row>
    <row r="3" spans="1:9" ht="18" customHeight="1" x14ac:dyDescent="0.25">
      <c r="A3" s="6" t="s">
        <v>4</v>
      </c>
      <c r="B3" s="77" t="s">
        <v>64</v>
      </c>
      <c r="C3" s="77"/>
      <c r="D3" s="77"/>
      <c r="E3" s="9" t="s">
        <v>5</v>
      </c>
      <c r="F3" s="10">
        <v>46155</v>
      </c>
      <c r="G3" s="8"/>
      <c r="H3" s="8"/>
      <c r="I3" s="8"/>
    </row>
    <row r="4" spans="1:9" ht="18" customHeight="1" x14ac:dyDescent="0.2">
      <c r="A4" s="6" t="s">
        <v>6</v>
      </c>
      <c r="B4" s="77" t="s">
        <v>65</v>
      </c>
      <c r="C4" s="77"/>
      <c r="D4" s="77"/>
      <c r="E4" s="6" t="s">
        <v>40</v>
      </c>
      <c r="F4" s="11">
        <v>40000</v>
      </c>
      <c r="G4" s="12"/>
      <c r="H4" s="12"/>
      <c r="I4" s="12"/>
    </row>
    <row r="5" spans="1:9" ht="18" customHeight="1" x14ac:dyDescent="0.25">
      <c r="A5" s="6" t="s">
        <v>7</v>
      </c>
      <c r="B5" s="77" t="s">
        <v>70</v>
      </c>
      <c r="C5" s="77"/>
      <c r="D5" s="77"/>
      <c r="E5" s="9" t="s">
        <v>8</v>
      </c>
      <c r="F5" s="11">
        <v>2001.126</v>
      </c>
      <c r="G5" s="8"/>
      <c r="H5" s="8"/>
      <c r="I5" s="8"/>
    </row>
    <row r="6" spans="1:9" ht="18" customHeight="1" x14ac:dyDescent="0.25">
      <c r="A6" s="6" t="s">
        <v>9</v>
      </c>
      <c r="B6" s="77" t="s">
        <v>0</v>
      </c>
      <c r="C6" s="77"/>
      <c r="D6" s="77"/>
      <c r="E6" s="9" t="s">
        <v>10</v>
      </c>
      <c r="F6" s="8" t="s">
        <v>11</v>
      </c>
      <c r="G6" s="8"/>
      <c r="H6" s="8"/>
      <c r="I6" s="8"/>
    </row>
    <row r="7" spans="1:9" ht="18" customHeight="1" x14ac:dyDescent="0.25">
      <c r="A7" s="6"/>
      <c r="B7" s="77"/>
      <c r="C7" s="77"/>
      <c r="D7" s="77"/>
      <c r="E7" s="9"/>
      <c r="F7" s="13"/>
      <c r="G7" s="8"/>
      <c r="H7" s="8"/>
      <c r="I7" s="8"/>
    </row>
    <row r="8" spans="1:9" ht="18" customHeight="1" x14ac:dyDescent="0.25">
      <c r="A8" s="6"/>
      <c r="B8" s="13"/>
      <c r="C8" s="8"/>
      <c r="D8" s="9" t="s">
        <v>12</v>
      </c>
      <c r="E8" s="9"/>
      <c r="F8" s="13"/>
      <c r="G8" s="8"/>
      <c r="H8" s="8"/>
      <c r="I8" s="8"/>
    </row>
    <row r="9" spans="1:9" ht="18" customHeight="1" x14ac:dyDescent="0.25">
      <c r="A9" s="6"/>
      <c r="B9" s="13"/>
      <c r="C9" s="9" t="s">
        <v>13</v>
      </c>
      <c r="D9" s="14">
        <v>46157</v>
      </c>
      <c r="E9" s="14"/>
      <c r="F9" s="13"/>
      <c r="G9" s="8"/>
      <c r="H9" s="8"/>
      <c r="I9" s="8"/>
    </row>
    <row r="10" spans="1:9" ht="18" customHeight="1" x14ac:dyDescent="0.25">
      <c r="A10" s="6"/>
      <c r="B10" s="13"/>
      <c r="C10" s="9" t="s">
        <v>14</v>
      </c>
      <c r="D10" s="14">
        <v>46160</v>
      </c>
      <c r="E10" s="14"/>
      <c r="F10" s="13"/>
      <c r="G10" s="8"/>
      <c r="H10" s="8"/>
      <c r="I10" s="8"/>
    </row>
    <row r="11" spans="1:9" ht="18" customHeight="1" x14ac:dyDescent="0.25">
      <c r="A11" s="6"/>
      <c r="B11" s="15"/>
      <c r="C11" s="16"/>
      <c r="D11" s="16"/>
      <c r="E11" s="9"/>
      <c r="F11" s="13"/>
      <c r="G11" s="8"/>
      <c r="H11" s="8"/>
      <c r="I11" s="17"/>
    </row>
    <row r="12" spans="1:9" ht="18" customHeight="1" x14ac:dyDescent="0.25">
      <c r="A12" s="8"/>
      <c r="B12" s="18" t="s">
        <v>15</v>
      </c>
      <c r="C12" s="18" t="s">
        <v>16</v>
      </c>
      <c r="D12" s="18" t="s">
        <v>17</v>
      </c>
      <c r="E12" s="18" t="s">
        <v>18</v>
      </c>
      <c r="F12" s="13"/>
      <c r="G12" s="8"/>
      <c r="H12" s="8"/>
      <c r="I12" s="8"/>
    </row>
    <row r="13" spans="1:9" ht="18" customHeight="1" x14ac:dyDescent="0.2">
      <c r="A13" s="6" t="s">
        <v>19</v>
      </c>
      <c r="B13" s="19">
        <f>B35+B60</f>
        <v>72</v>
      </c>
      <c r="C13" s="19">
        <f>D35+D60</f>
        <v>129.40000000008149</v>
      </c>
      <c r="D13" s="19">
        <f>C13-B13</f>
        <v>57.400000000081491</v>
      </c>
      <c r="E13" s="20">
        <f>D13/24*F4</f>
        <v>95666.666666802485</v>
      </c>
      <c r="F13" s="13"/>
      <c r="G13" s="8"/>
      <c r="H13" s="8"/>
      <c r="I13" s="8"/>
    </row>
    <row r="14" spans="1:9" ht="15" customHeight="1" x14ac:dyDescent="0.2">
      <c r="A14" s="21"/>
      <c r="B14" s="22"/>
      <c r="C14" s="23"/>
      <c r="D14" s="24"/>
      <c r="E14" s="25"/>
      <c r="F14" s="21"/>
      <c r="G14" s="8"/>
      <c r="H14" s="26"/>
      <c r="I14" s="8"/>
    </row>
    <row r="15" spans="1:9" ht="15" customHeight="1" thickTop="1" x14ac:dyDescent="0.2">
      <c r="A15" s="8"/>
      <c r="B15" s="26"/>
      <c r="C15" s="27"/>
      <c r="D15" s="6"/>
      <c r="E15" s="28"/>
      <c r="F15" s="8"/>
      <c r="G15" s="8"/>
      <c r="H15" s="26"/>
      <c r="I15" s="8"/>
    </row>
    <row r="16" spans="1:9" ht="15" customHeight="1" x14ac:dyDescent="0.25">
      <c r="A16" s="29" t="s">
        <v>20</v>
      </c>
      <c r="B16" s="18" t="s">
        <v>21</v>
      </c>
      <c r="C16" s="16" t="s">
        <v>58</v>
      </c>
      <c r="D16" s="18" t="s">
        <v>22</v>
      </c>
      <c r="E16" s="16" t="s">
        <v>38</v>
      </c>
      <c r="F16" s="5" t="s">
        <v>62</v>
      </c>
      <c r="G16" s="8"/>
      <c r="H16" s="8"/>
      <c r="I16" s="8"/>
    </row>
    <row r="17" spans="1:9" ht="15" customHeight="1" x14ac:dyDescent="0.25">
      <c r="A17" s="18"/>
      <c r="B17" s="18"/>
      <c r="C17" s="30"/>
      <c r="D17" s="31"/>
      <c r="E17" s="32"/>
      <c r="F17" s="33"/>
      <c r="G17" s="8"/>
      <c r="H17" s="8"/>
      <c r="I17" s="8"/>
    </row>
    <row r="18" spans="1:9" ht="13.5" customHeight="1" x14ac:dyDescent="0.25">
      <c r="A18" s="82" t="s">
        <v>23</v>
      </c>
      <c r="B18" s="82"/>
      <c r="C18" s="82"/>
      <c r="D18" s="34" t="s">
        <v>24</v>
      </c>
      <c r="E18" s="79" t="s">
        <v>25</v>
      </c>
      <c r="F18" s="79"/>
      <c r="G18" s="8"/>
      <c r="H18" s="8"/>
      <c r="I18" s="8"/>
    </row>
    <row r="19" spans="1:9" ht="13.5" customHeight="1" x14ac:dyDescent="0.2">
      <c r="A19" s="78" t="s">
        <v>41</v>
      </c>
      <c r="B19" s="78"/>
      <c r="C19" s="78"/>
      <c r="D19" s="35">
        <v>46158.493055555555</v>
      </c>
      <c r="E19" s="36"/>
      <c r="F19" s="35"/>
      <c r="G19" s="8"/>
      <c r="H19" s="8"/>
      <c r="I19" s="8"/>
    </row>
    <row r="20" spans="1:9" ht="13.5" customHeight="1" x14ac:dyDescent="0.2">
      <c r="A20" s="8" t="s">
        <v>42</v>
      </c>
      <c r="B20" s="8"/>
      <c r="C20" s="8"/>
      <c r="D20" s="35">
        <v>46161.504166666666</v>
      </c>
      <c r="E20" s="7"/>
      <c r="F20" s="37"/>
      <c r="G20" s="8"/>
      <c r="H20" s="8"/>
      <c r="I20" s="8"/>
    </row>
    <row r="21" spans="1:9" ht="13.5" customHeight="1" x14ac:dyDescent="0.2">
      <c r="A21" s="78" t="s">
        <v>43</v>
      </c>
      <c r="B21" s="78"/>
      <c r="C21" s="78"/>
      <c r="D21" s="35">
        <v>46161.604166666664</v>
      </c>
      <c r="E21" s="13"/>
      <c r="F21" s="73"/>
      <c r="G21" s="8"/>
      <c r="H21" s="8"/>
      <c r="I21" s="8"/>
    </row>
    <row r="22" spans="1:9" ht="13.5" customHeight="1" x14ac:dyDescent="0.2">
      <c r="A22" s="8" t="s">
        <v>44</v>
      </c>
      <c r="B22" s="8"/>
      <c r="C22" s="8"/>
      <c r="D22" s="35">
        <v>46161.631944444445</v>
      </c>
      <c r="E22" s="13"/>
      <c r="F22" s="8"/>
      <c r="G22" s="8"/>
      <c r="H22" s="8"/>
      <c r="I22" s="8"/>
    </row>
    <row r="23" spans="1:9" ht="13.5" customHeight="1" x14ac:dyDescent="0.2">
      <c r="A23" s="8" t="s">
        <v>45</v>
      </c>
      <c r="B23" s="8"/>
      <c r="C23" s="8"/>
      <c r="D23" s="35">
        <v>46161.666666666664</v>
      </c>
      <c r="E23" s="8"/>
      <c r="F23" s="59"/>
      <c r="G23" s="8"/>
      <c r="H23" s="8"/>
      <c r="I23" s="8"/>
    </row>
    <row r="24" spans="1:9" ht="13.5" customHeight="1" x14ac:dyDescent="0.2">
      <c r="A24" s="8" t="s">
        <v>46</v>
      </c>
      <c r="B24" s="8"/>
      <c r="C24" s="8"/>
      <c r="D24" s="35">
        <v>46162.275694444441</v>
      </c>
      <c r="E24" s="13"/>
      <c r="F24" s="37"/>
      <c r="G24" s="8"/>
      <c r="H24" s="8"/>
      <c r="I24" s="8"/>
    </row>
    <row r="25" spans="1:9" ht="13.5" customHeight="1" x14ac:dyDescent="0.2">
      <c r="A25" s="80" t="s">
        <v>47</v>
      </c>
      <c r="B25" s="80"/>
      <c r="C25" s="80"/>
      <c r="D25" s="35">
        <v>46162.375</v>
      </c>
      <c r="E25" s="13"/>
      <c r="F25" s="59"/>
      <c r="G25" s="8"/>
      <c r="H25" s="8"/>
      <c r="I25" s="8"/>
    </row>
    <row r="26" spans="1:9" ht="13.5" customHeight="1" x14ac:dyDescent="0.2">
      <c r="A26" s="38"/>
      <c r="B26" s="38"/>
      <c r="C26" s="38"/>
      <c r="D26" s="39"/>
      <c r="E26" s="13"/>
      <c r="F26" s="37"/>
      <c r="G26" s="8"/>
      <c r="H26" s="8"/>
      <c r="I26" s="8"/>
    </row>
    <row r="27" spans="1:9" s="1" customFormat="1" ht="13.5" customHeight="1" x14ac:dyDescent="0.2">
      <c r="A27" s="81" t="s">
        <v>48</v>
      </c>
      <c r="B27" s="81"/>
      <c r="C27" s="81"/>
      <c r="D27" s="35">
        <v>46158.729166666664</v>
      </c>
      <c r="E27" s="75" t="s">
        <v>61</v>
      </c>
      <c r="F27" s="59"/>
      <c r="G27" s="8"/>
      <c r="H27" s="8"/>
      <c r="I27" s="8"/>
    </row>
    <row r="28" spans="1:9" ht="13.5" customHeight="1" x14ac:dyDescent="0.2">
      <c r="A28" s="78" t="s">
        <v>49</v>
      </c>
      <c r="B28" s="78"/>
      <c r="C28" s="78"/>
      <c r="D28" s="35">
        <v>46162.375</v>
      </c>
      <c r="E28" s="74" t="s">
        <v>60</v>
      </c>
      <c r="F28" s="37"/>
      <c r="G28" s="8"/>
      <c r="H28" s="8"/>
      <c r="I28" s="8"/>
    </row>
    <row r="29" spans="1:9" ht="13.5" customHeight="1" x14ac:dyDescent="0.2">
      <c r="A29" s="77"/>
      <c r="B29" s="77"/>
      <c r="C29" s="77"/>
      <c r="D29" s="41"/>
      <c r="E29" s="8"/>
      <c r="F29" s="59"/>
      <c r="G29" s="8"/>
      <c r="H29" s="8"/>
      <c r="I29" s="8"/>
    </row>
    <row r="30" spans="1:9" ht="13.5" customHeight="1" x14ac:dyDescent="0.2">
      <c r="A30" s="86" t="s">
        <v>50</v>
      </c>
      <c r="B30" s="86"/>
      <c r="C30" s="86"/>
      <c r="D30" s="43">
        <f>(D28-D27)*24</f>
        <v>87.500000000058208</v>
      </c>
      <c r="E30" s="8" t="s">
        <v>26</v>
      </c>
      <c r="F30" s="37"/>
      <c r="G30" s="8"/>
      <c r="H30" s="8"/>
      <c r="I30" s="8"/>
    </row>
    <row r="31" spans="1:9" ht="12.75" customHeight="1" x14ac:dyDescent="0.2">
      <c r="A31" s="42" t="s">
        <v>27</v>
      </c>
      <c r="B31" s="42"/>
      <c r="C31" s="42"/>
      <c r="D31" s="43"/>
      <c r="E31" s="8"/>
      <c r="F31" s="59"/>
      <c r="G31" s="8"/>
      <c r="H31" s="8"/>
      <c r="I31" s="8"/>
    </row>
    <row r="32" spans="1:9" ht="13.5" customHeight="1" x14ac:dyDescent="0.2">
      <c r="A32" s="87" t="s">
        <v>51</v>
      </c>
      <c r="B32" s="87"/>
      <c r="C32" s="87"/>
      <c r="D32" s="43">
        <f>(D21-D20)*24</f>
        <v>2.3999999999650754</v>
      </c>
      <c r="E32" s="8" t="s">
        <v>26</v>
      </c>
      <c r="F32" s="37"/>
      <c r="G32" s="8"/>
      <c r="H32" s="8"/>
      <c r="I32" s="8"/>
    </row>
    <row r="33" spans="1:9" ht="13.5" customHeight="1" x14ac:dyDescent="0.2">
      <c r="A33" s="88" t="s">
        <v>52</v>
      </c>
      <c r="B33" s="88"/>
      <c r="C33" s="88"/>
      <c r="D33" s="43"/>
      <c r="E33" s="8" t="s">
        <v>26</v>
      </c>
      <c r="F33" s="59"/>
      <c r="G33" s="8"/>
      <c r="H33" s="8"/>
      <c r="I33" s="8"/>
    </row>
    <row r="34" spans="1:9" s="2" customFormat="1" ht="13.5" customHeight="1" x14ac:dyDescent="0.25">
      <c r="A34" s="45"/>
      <c r="B34" s="45"/>
      <c r="C34" s="45"/>
      <c r="D34" s="46"/>
      <c r="E34" s="31"/>
      <c r="F34" s="37"/>
      <c r="G34" s="8"/>
      <c r="H34" s="8"/>
      <c r="I34" s="8"/>
    </row>
    <row r="35" spans="1:9" s="2" customFormat="1" ht="13.5" customHeight="1" x14ac:dyDescent="0.25">
      <c r="A35" s="48" t="s">
        <v>28</v>
      </c>
      <c r="B35" s="49">
        <v>36</v>
      </c>
      <c r="C35" s="50" t="s">
        <v>29</v>
      </c>
      <c r="D35" s="51">
        <f>D30-D32+D33</f>
        <v>85.100000000093132</v>
      </c>
      <c r="E35" s="48" t="s">
        <v>53</v>
      </c>
      <c r="F35" s="52"/>
      <c r="G35" s="31"/>
      <c r="H35" s="31"/>
      <c r="I35" s="31"/>
    </row>
    <row r="36" spans="1:9" s="2" customFormat="1" ht="13.5" customHeight="1" x14ac:dyDescent="0.25">
      <c r="A36" s="53" t="s">
        <v>30</v>
      </c>
      <c r="B36" s="69">
        <f>(D35-B35)/24*F4</f>
        <v>81833.333333488554</v>
      </c>
      <c r="C36" s="54" t="s">
        <v>11</v>
      </c>
      <c r="D36" s="51"/>
      <c r="E36" s="48"/>
      <c r="F36" s="51"/>
      <c r="G36" s="31"/>
      <c r="H36" s="31"/>
      <c r="I36" s="31"/>
    </row>
    <row r="37" spans="1:9" s="2" customFormat="1" ht="13.5" customHeight="1" thickBot="1" x14ac:dyDescent="0.3">
      <c r="A37" s="55"/>
      <c r="B37" s="55"/>
      <c r="C37" s="55"/>
      <c r="D37" s="56"/>
      <c r="E37" s="57"/>
      <c r="F37" s="58"/>
      <c r="G37" s="31"/>
      <c r="H37" s="31"/>
      <c r="I37" s="31"/>
    </row>
    <row r="38" spans="1:9" s="2" customFormat="1" ht="15" customHeight="1" thickTop="1" x14ac:dyDescent="0.25">
      <c r="A38" s="45"/>
      <c r="B38" s="45"/>
      <c r="C38" s="45"/>
      <c r="D38" s="46"/>
      <c r="E38" s="31"/>
      <c r="F38" s="47"/>
      <c r="G38" s="31"/>
      <c r="H38" s="31"/>
      <c r="I38" s="31"/>
    </row>
    <row r="39" spans="1:9" ht="15" customHeight="1" x14ac:dyDescent="0.25">
      <c r="A39" s="29" t="s">
        <v>37</v>
      </c>
      <c r="B39" s="18" t="s">
        <v>21</v>
      </c>
      <c r="C39" s="16" t="s">
        <v>67</v>
      </c>
      <c r="D39" s="18" t="s">
        <v>22</v>
      </c>
      <c r="E39" s="16" t="s">
        <v>68</v>
      </c>
      <c r="F39" s="33"/>
      <c r="G39" s="8"/>
      <c r="H39" s="8"/>
      <c r="I39" s="8"/>
    </row>
    <row r="40" spans="1:9" ht="15" customHeight="1" x14ac:dyDescent="0.25">
      <c r="A40" s="83" t="s">
        <v>31</v>
      </c>
      <c r="B40" s="83"/>
      <c r="C40" s="11">
        <v>2001.126</v>
      </c>
      <c r="D40" s="31"/>
      <c r="E40" s="32" t="s">
        <v>32</v>
      </c>
      <c r="F40" s="33">
        <v>150</v>
      </c>
      <c r="G40" s="8"/>
      <c r="H40" s="8"/>
      <c r="I40" s="8"/>
    </row>
    <row r="41" spans="1:9" ht="13.5" customHeight="1" x14ac:dyDescent="0.25">
      <c r="A41" s="82" t="s">
        <v>23</v>
      </c>
      <c r="B41" s="82"/>
      <c r="C41" s="82"/>
      <c r="D41" s="34" t="s">
        <v>24</v>
      </c>
      <c r="E41" s="79" t="s">
        <v>25</v>
      </c>
      <c r="F41" s="79"/>
      <c r="G41" s="8"/>
      <c r="H41" s="8"/>
      <c r="I41" s="8"/>
    </row>
    <row r="42" spans="1:9" ht="13.5" customHeight="1" x14ac:dyDescent="0.2">
      <c r="A42" s="78" t="s">
        <v>41</v>
      </c>
      <c r="B42" s="78"/>
      <c r="C42" s="78"/>
      <c r="D42" s="35">
        <v>46165.933333333334</v>
      </c>
      <c r="E42" s="84"/>
      <c r="F42" s="85"/>
      <c r="G42" s="8"/>
      <c r="H42" s="8"/>
      <c r="I42" s="8"/>
    </row>
    <row r="43" spans="1:9" ht="13.5" customHeight="1" x14ac:dyDescent="0.2">
      <c r="A43" s="8" t="s">
        <v>54</v>
      </c>
      <c r="B43" s="8"/>
      <c r="C43" s="8"/>
      <c r="D43" s="35">
        <v>46169.270833333336</v>
      </c>
      <c r="E43" s="7"/>
      <c r="F43" s="37"/>
      <c r="G43" s="8"/>
      <c r="H43" s="8"/>
      <c r="I43" s="8"/>
    </row>
    <row r="44" spans="1:9" ht="13.5" customHeight="1" x14ac:dyDescent="0.2">
      <c r="A44" s="78" t="s">
        <v>55</v>
      </c>
      <c r="B44" s="78"/>
      <c r="C44" s="78"/>
      <c r="D44" s="35">
        <v>46170.737500000003</v>
      </c>
      <c r="E44" s="13" t="s">
        <v>69</v>
      </c>
      <c r="F44" s="59"/>
      <c r="G44" s="8"/>
      <c r="H44" s="8"/>
      <c r="I44" s="8"/>
    </row>
    <row r="45" spans="1:9" ht="13.5" customHeight="1" x14ac:dyDescent="0.2">
      <c r="A45" s="8" t="s">
        <v>44</v>
      </c>
      <c r="B45" s="8"/>
      <c r="C45" s="8"/>
      <c r="D45" s="35">
        <v>46171.631944444445</v>
      </c>
      <c r="E45" s="60"/>
      <c r="F45" s="37"/>
      <c r="G45" s="8"/>
      <c r="H45" s="8"/>
      <c r="I45" s="8"/>
    </row>
    <row r="46" spans="1:9" ht="13.5" customHeight="1" x14ac:dyDescent="0.2">
      <c r="A46" s="8" t="s">
        <v>56</v>
      </c>
      <c r="B46" s="8"/>
      <c r="C46" s="8"/>
      <c r="D46" s="35">
        <v>46171.715277777781</v>
      </c>
      <c r="E46" s="15"/>
      <c r="F46" s="59"/>
      <c r="G46" s="8"/>
      <c r="H46" s="8"/>
      <c r="I46" s="8"/>
    </row>
    <row r="47" spans="1:9" ht="13.5" customHeight="1" x14ac:dyDescent="0.2">
      <c r="A47" s="8" t="s">
        <v>57</v>
      </c>
      <c r="B47" s="8"/>
      <c r="C47" s="8"/>
      <c r="D47" s="35">
        <v>46172.565972222219</v>
      </c>
      <c r="E47" s="61"/>
      <c r="F47" s="37"/>
      <c r="G47" s="8"/>
      <c r="H47" s="8"/>
      <c r="I47" s="8"/>
    </row>
    <row r="48" spans="1:9" ht="13.5" customHeight="1" x14ac:dyDescent="0.2">
      <c r="A48" s="80" t="s">
        <v>47</v>
      </c>
      <c r="B48" s="80"/>
      <c r="C48" s="80"/>
      <c r="D48" s="35">
        <v>46172.583333333336</v>
      </c>
      <c r="E48" s="13"/>
      <c r="F48" s="59"/>
      <c r="G48" s="8"/>
      <c r="H48" s="8"/>
      <c r="I48" s="8"/>
    </row>
    <row r="49" spans="1:9" ht="13.5" customHeight="1" x14ac:dyDescent="0.2">
      <c r="A49" s="38"/>
      <c r="B49" s="38"/>
      <c r="C49" s="38"/>
      <c r="D49" s="35"/>
      <c r="E49" s="13"/>
      <c r="F49" s="37"/>
      <c r="G49" s="8"/>
      <c r="H49" s="8"/>
      <c r="I49" s="8"/>
    </row>
    <row r="50" spans="1:9" s="1" customFormat="1" ht="13.5" customHeight="1" x14ac:dyDescent="0.2">
      <c r="A50" s="81" t="s">
        <v>48</v>
      </c>
      <c r="B50" s="81"/>
      <c r="C50" s="81"/>
      <c r="D50" s="35">
        <v>46170.737500000003</v>
      </c>
      <c r="E50" s="75" t="s">
        <v>63</v>
      </c>
      <c r="F50" s="59"/>
      <c r="G50" s="8"/>
      <c r="H50" s="8"/>
      <c r="I50" s="8"/>
    </row>
    <row r="51" spans="1:9" ht="13.5" customHeight="1" x14ac:dyDescent="0.2">
      <c r="A51" s="78" t="s">
        <v>49</v>
      </c>
      <c r="B51" s="78"/>
      <c r="C51" s="78"/>
      <c r="D51" s="35">
        <v>46172.583333333336</v>
      </c>
      <c r="E51" s="74" t="s">
        <v>60</v>
      </c>
      <c r="F51" s="37"/>
      <c r="G51" s="8"/>
      <c r="H51" s="8"/>
      <c r="I51" s="8"/>
    </row>
    <row r="52" spans="1:9" ht="13.5" customHeight="1" x14ac:dyDescent="0.2">
      <c r="A52" s="77"/>
      <c r="B52" s="77"/>
      <c r="C52" s="77"/>
      <c r="D52" s="41"/>
      <c r="E52" s="8"/>
      <c r="F52" s="59"/>
      <c r="G52" s="8"/>
      <c r="H52" s="8"/>
      <c r="I52" s="8"/>
    </row>
    <row r="53" spans="1:9" ht="13.5" customHeight="1" x14ac:dyDescent="0.2">
      <c r="A53" s="86" t="s">
        <v>50</v>
      </c>
      <c r="B53" s="86"/>
      <c r="C53" s="86"/>
      <c r="D53" s="43">
        <f>(D51-D50)*24</f>
        <v>44.299999999988358</v>
      </c>
      <c r="E53" s="8" t="s">
        <v>26</v>
      </c>
      <c r="F53" s="37"/>
      <c r="G53" s="8"/>
      <c r="H53" s="8"/>
      <c r="I53" s="8"/>
    </row>
    <row r="54" spans="1:9" ht="12.75" customHeight="1" x14ac:dyDescent="0.2">
      <c r="A54" s="42" t="s">
        <v>27</v>
      </c>
      <c r="B54" s="42"/>
      <c r="C54" s="42"/>
      <c r="D54" s="43"/>
      <c r="E54" s="8"/>
      <c r="F54" s="59"/>
      <c r="G54" s="8"/>
      <c r="H54" s="8"/>
      <c r="I54" s="8"/>
    </row>
    <row r="55" spans="1:9" ht="13.5" customHeight="1" x14ac:dyDescent="0.2">
      <c r="A55" s="87" t="s">
        <v>51</v>
      </c>
      <c r="B55" s="87"/>
      <c r="C55" s="87"/>
      <c r="D55" s="43"/>
      <c r="E55" s="8" t="s">
        <v>26</v>
      </c>
      <c r="F55" s="37"/>
      <c r="G55" s="8"/>
      <c r="H55" s="8"/>
      <c r="I55" s="8"/>
    </row>
    <row r="56" spans="1:9" ht="13.5" customHeight="1" x14ac:dyDescent="0.2">
      <c r="A56" s="62" t="s">
        <v>33</v>
      </c>
      <c r="B56" s="44"/>
      <c r="C56" s="44"/>
      <c r="D56" s="43"/>
      <c r="E56" s="8" t="s">
        <v>26</v>
      </c>
      <c r="F56" s="59"/>
      <c r="G56" s="8"/>
      <c r="H56" s="8"/>
      <c r="I56" s="8"/>
    </row>
    <row r="57" spans="1:9" ht="13.5" customHeight="1" x14ac:dyDescent="0.2">
      <c r="A57" s="62"/>
      <c r="B57" s="44"/>
      <c r="C57" s="44"/>
      <c r="D57" s="43"/>
      <c r="E57" s="8"/>
      <c r="F57" s="37"/>
      <c r="G57" s="8"/>
      <c r="H57" s="8"/>
      <c r="I57" s="8"/>
    </row>
    <row r="58" spans="1:9" ht="13.5" customHeight="1" x14ac:dyDescent="0.2">
      <c r="A58" s="88" t="s">
        <v>52</v>
      </c>
      <c r="B58" s="88"/>
      <c r="C58" s="88"/>
      <c r="D58" s="43">
        <v>0</v>
      </c>
      <c r="E58" s="8" t="s">
        <v>26</v>
      </c>
      <c r="F58" s="59"/>
      <c r="G58" s="8"/>
      <c r="H58" s="8"/>
      <c r="I58" s="8"/>
    </row>
    <row r="59" spans="1:9" s="2" customFormat="1" ht="13.5" customHeight="1" x14ac:dyDescent="0.25">
      <c r="A59" s="45"/>
      <c r="B59" s="45"/>
      <c r="C59" s="45"/>
      <c r="D59" s="46"/>
      <c r="E59" s="31"/>
      <c r="F59" s="37"/>
      <c r="G59" s="8"/>
      <c r="H59" s="8"/>
      <c r="I59" s="8"/>
    </row>
    <row r="60" spans="1:9" s="2" customFormat="1" ht="13.5" customHeight="1" x14ac:dyDescent="0.25">
      <c r="A60" s="48" t="s">
        <v>28</v>
      </c>
      <c r="B60" s="49">
        <v>36</v>
      </c>
      <c r="C60" s="50" t="s">
        <v>29</v>
      </c>
      <c r="D60" s="51">
        <f>D53-D55-D56-D57</f>
        <v>44.299999999988358</v>
      </c>
      <c r="E60" s="31" t="s">
        <v>34</v>
      </c>
      <c r="F60" s="8">
        <f>C40/((D47-D46)*24-10.5)</f>
        <v>201.79421849055353</v>
      </c>
      <c r="G60" s="31"/>
      <c r="H60" s="31"/>
      <c r="I60" s="31"/>
    </row>
    <row r="61" spans="1:9" s="2" customFormat="1" ht="13.5" customHeight="1" x14ac:dyDescent="0.25">
      <c r="A61" s="63" t="s">
        <v>59</v>
      </c>
      <c r="B61" s="70">
        <f>(D60-B60)/24*F4</f>
        <v>13833.333333313931</v>
      </c>
      <c r="C61" s="64" t="s">
        <v>11</v>
      </c>
      <c r="D61" s="51"/>
      <c r="E61" s="48"/>
      <c r="F61" s="51"/>
      <c r="G61" s="31"/>
      <c r="H61" s="31"/>
      <c r="I61" s="31"/>
    </row>
    <row r="62" spans="1:9" ht="15" customHeight="1" thickBot="1" x14ac:dyDescent="0.25">
      <c r="A62" s="65"/>
      <c r="B62" s="71"/>
      <c r="C62" s="65"/>
      <c r="D62" s="66"/>
      <c r="E62" s="67"/>
      <c r="F62" s="67"/>
      <c r="G62" s="8"/>
      <c r="H62" s="8"/>
      <c r="I62" s="8"/>
    </row>
    <row r="63" spans="1:9" ht="20.25" customHeight="1" x14ac:dyDescent="0.25">
      <c r="A63" s="40" t="s">
        <v>35</v>
      </c>
      <c r="B63" s="72">
        <f>B36+B61</f>
        <v>95666.666666802485</v>
      </c>
      <c r="C63" s="68" t="s">
        <v>11</v>
      </c>
      <c r="D63" s="8"/>
      <c r="E63" s="8"/>
      <c r="F63" s="8"/>
      <c r="G63" s="8"/>
      <c r="H63" s="8"/>
      <c r="I63" s="8"/>
    </row>
    <row r="64" spans="1:9" ht="15" x14ac:dyDescent="0.2">
      <c r="A64" s="8"/>
      <c r="B64" s="8"/>
      <c r="C64" s="8"/>
      <c r="D64" s="8"/>
      <c r="E64" s="8"/>
      <c r="F64" s="8"/>
      <c r="G64" s="8"/>
      <c r="H64" s="8"/>
      <c r="I64" s="8"/>
    </row>
    <row r="65" spans="1:9" ht="15.75" x14ac:dyDescent="0.25">
      <c r="A65" s="8"/>
      <c r="B65" s="8"/>
      <c r="C65" s="8"/>
      <c r="D65" s="8"/>
      <c r="E65" s="9" t="s">
        <v>36</v>
      </c>
      <c r="F65" s="10">
        <v>46176</v>
      </c>
      <c r="G65" s="8"/>
      <c r="H65" s="8"/>
      <c r="I65" s="8"/>
    </row>
    <row r="69" spans="1:9" x14ac:dyDescent="0.2">
      <c r="B69"/>
    </row>
  </sheetData>
  <mergeCells count="31">
    <mergeCell ref="A29:C29"/>
    <mergeCell ref="A30:C30"/>
    <mergeCell ref="A55:C55"/>
    <mergeCell ref="A58:C58"/>
    <mergeCell ref="A53:C53"/>
    <mergeCell ref="A48:C48"/>
    <mergeCell ref="A50:C50"/>
    <mergeCell ref="A51:C51"/>
    <mergeCell ref="A52:C52"/>
    <mergeCell ref="A44:C44"/>
    <mergeCell ref="A32:C32"/>
    <mergeCell ref="A33:C33"/>
    <mergeCell ref="E41:F41"/>
    <mergeCell ref="A41:C41"/>
    <mergeCell ref="A40:B40"/>
    <mergeCell ref="A42:C42"/>
    <mergeCell ref="E42:F42"/>
    <mergeCell ref="A21:C21"/>
    <mergeCell ref="A25:C25"/>
    <mergeCell ref="A27:C27"/>
    <mergeCell ref="A28:C28"/>
    <mergeCell ref="B5:D5"/>
    <mergeCell ref="B6:D6"/>
    <mergeCell ref="B7:D7"/>
    <mergeCell ref="A18:C18"/>
    <mergeCell ref="A1:F1"/>
    <mergeCell ref="B2:D2"/>
    <mergeCell ref="B3:D3"/>
    <mergeCell ref="B4:D4"/>
    <mergeCell ref="A19:C19"/>
    <mergeCell ref="E18:F18"/>
  </mergeCells>
  <phoneticPr fontId="6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2026-06-05T07:27:41Z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